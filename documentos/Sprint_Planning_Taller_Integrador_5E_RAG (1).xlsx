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echas" sheetId="1" state="visible" r:id="rId3"/>
    <sheet name="Sprint Backlog" sheetId="2" state="visible" r:id="rId4"/>
    <sheet name="Cronograma" sheetId="3" state="visible" r:id="rId5"/>
    <sheet name="Dedicación" sheetId="4" state="visible" r:id="rId6"/>
  </sheets>
  <definedNames>
    <definedName function="false" hidden="true" localSheetId="1" name="_xlnm._FilterDatabase" vbProcedure="false">'Sprint Backlog'!$A$4:$Q$45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<sst xmlns="http://schemas.openxmlformats.org/spreadsheetml/2006/main" count="753" uniqueCount="355">
  <si>
    <t xml:space="preserve">Brechas de investigación → responsable → ítems del backlog</t>
  </si>
  <si>
    <t xml:space="preserve">Muestra cómo cada integrante aborda su brecha en cada sprint. Proyecto: plataforma de generación asistida de contenido educativo y evaluaciones. Dedicación comprometida: 10 horas semanales por integrante.</t>
  </si>
  <si>
    <t xml:space="preserve">Brecha</t>
  </si>
  <si>
    <t xml:space="preserve">Responsable</t>
  </si>
  <si>
    <t xml:space="preserve">De qué trata</t>
  </si>
  <si>
    <t xml:space="preserve">Cómo se aborda en el sistema</t>
  </si>
  <si>
    <t xml:space="preserve">Sprint 1 (MVP)</t>
  </si>
  <si>
    <t xml:space="preserve">Sprint 2 (Final)</t>
  </si>
  <si>
    <t xml:space="preserve">Métrica que la evidencia</t>
  </si>
  <si>
    <t xml:space="preserve">SP asociados</t>
  </si>
  <si>
    <t xml:space="preserve">Fuente</t>
  </si>
  <si>
    <t xml:space="preserve">B1 Anclaje y alucinación</t>
  </si>
  <si>
    <t xml:space="preserve">Yan Liu Dai</t>
  </si>
  <si>
    <t xml:space="preserve">La generación por inyección de prompts depende de la memoria del modelo: el contenido no es trazable al material del docente y puede introducir errores en el curso.</t>
  </si>
  <si>
    <t xml:space="preserve">Canal RAG sobre base vectorial: segmentación con metadatos, recuperación híbrida, citación obligatoria por afirmación y verificación automática de anclaje que rechaza lo no respaldado.</t>
  </si>
  <si>
    <t xml:space="preserve">EN-003 Contratos
SP-002 Modelo de embeddings
HU-004 Vectorización
HU-005 Recuperación híbrida
HU-006 Generación anclada
HU-007 Verificación de anclaje</t>
  </si>
  <si>
    <t xml:space="preserve">EN-005 Conjunto de evaluación
HU-016 Reindexación de lo aprobado</t>
  </si>
  <si>
    <t xml:space="preserve">recall@10 ≥ 0,80 (I20); tasa de alucinación ≤ 3 % (I21); trazabilidad ≥ 95 % (I22).</t>
  </si>
  <si>
    <t xml:space="preserve">Lewis et al. (2020), RAG, NeurIPS 33 · Ji et al. (2023), ACM Computing Surveys 55(12)</t>
  </si>
  <si>
    <t xml:space="preserve">B2 Secuencia pedagógica 5E</t>
  </si>
  <si>
    <t xml:space="preserve">Juan Alegria</t>
  </si>
  <si>
    <t xml:space="preserve">Las herramientas de IA generan recursos sueltos, sin un modelo instruccional que ordene la progresión del aprendizaje ni intención pedagógica verificable por etapa.</t>
  </si>
  <si>
    <t xml:space="preserve">Orquestador que planifica las cinco etapas del modelo 5E por unidad, con rúbrica de validación por etapa y cobertura de los resultados de aprendizaje declarados.</t>
  </si>
  <si>
    <t xml:space="preserve">—</t>
  </si>
  <si>
    <t xml:space="preserve">HU-011 Etapa Explain
HU-012 Etapa Engage
HU-013 Etapa Explore
HU-014 Plan de secuencia 5E
HU-017 Etapa Elaborate</t>
  </si>
  <si>
    <t xml:space="preserve">Cobertura de las cinco etapas por unidad = 100 % (I23); plausibilidad media ≥ 2,3 y κ ≥ 0,41 (I4).</t>
  </si>
  <si>
    <t xml:space="preserve">Bybee et al. (2006), BSCS 5E · Polanin et al. (2024), AERA Open, 10</t>
  </si>
  <si>
    <t xml:space="preserve">B3 Plausibilidad de distractores</t>
  </si>
  <si>
    <t xml:space="preserve">Silvana Diaz</t>
  </si>
  <si>
    <t xml:space="preserve">En bancos manuales solo la mitad de los distractores funciona, y los modelos generales producen alternativas absurdas o que también son correctas.</t>
  </si>
  <si>
    <t xml:space="preserve">Distractores recuperados por vecindad vectorial dentro del corpus, diversificación por relevancia marginal, filtro de fiabilidad y revisión docente registrada.</t>
  </si>
  <si>
    <t xml:space="preserve">HU-008 Ítem con clave y retroalimentación
HU-009 Distractores por vecindad
HU-010 Panel de revisión docente</t>
  </si>
  <si>
    <t xml:space="preserve">EN-006 Registro de decisiones
HU-015 Filtro de fiabilidad
HU-020 Analítica de ítems</t>
  </si>
  <si>
    <t xml:space="preserve">NDR ≤ 10 % (I3); aceptación directa ≥ 50 % (I2); eficiencia de distractores ≥ 65 % (I9); r-pb ≥ 0,20 (I10).</t>
  </si>
  <si>
    <t xml:space="preserve">Bitew et al. (2023) · Testa et al. (2018), Frontiers in Psychology, 9</t>
  </si>
  <si>
    <t xml:space="preserve">B4 Interoperabilidad de formatos</t>
  </si>
  <si>
    <t xml:space="preserve">Sergio Celi</t>
  </si>
  <si>
    <t xml:space="preserve">El sistema vive entre formatos ajenos: debe leer PDF, PPTX y texto sin perder la referencia de origen, y devolver paquetes que otras plataformas sepan importar. Hoy el docente copia y pega pregunta por pregunta.</t>
  </si>
  <si>
    <t xml:space="preserve">Extracción estructurada de los documentos del docente en la entrada, y exportación a QTI 3.0 con empaquetado SCORM o Common Cartridge en la salida, con validación de conformidad y pruebas reales de importación.</t>
  </si>
  <si>
    <t xml:space="preserve">SP-001 Selección de los LMS objetivo
HU-002 Ingesta de documentos
HU-003 Segmentación y metadatos</t>
  </si>
  <si>
    <t xml:space="preserve">HU-018 Exportador QTI
HU-019 Empaquetado SCORM/CC
TA-002 Pruebas de importación</t>
  </si>
  <si>
    <t xml:space="preserve">Paquetes válidos = 100 % (I16); importación exitosa ≥ 95 % (I17); portabilidad en ≥ 2 LMS (I18); fidelidad = 100 % (I19); cobertura de extracción por formato.</t>
  </si>
  <si>
    <t xml:space="preserve">1EdTech (2022), QTI v3.0 Final Release Specification</t>
  </si>
  <si>
    <t xml:space="preserve">Base (infraestructura)</t>
  </si>
  <si>
    <t xml:space="preserve">Equipo completo</t>
  </si>
  <si>
    <t xml:space="preserve">Ítems que no atacan una brecha concreta pero sin los cuales el sistema no se sostiene: arquitectura, interfaz, seguridad, medición y cierre.</t>
  </si>
  <si>
    <t xml:space="preserve">Definición arquitectónica y de UX/UI previa a la programación, control de acceso por rol, tablero de indicadores y documentación de cierre.</t>
  </si>
  <si>
    <t xml:space="preserve">EN-001 Arquitectura
EN-002 Modelo de datos
HU-001 Sistema de diseño
TA-001 Proyectos base
EN-004 Línea base de tiempos
DO-001 Demo del MVP</t>
  </si>
  <si>
    <t xml:space="preserve">HU-021 Tablero
RN-001 Latencia
RN-002 Disponibilidad
RN-003 Seguridad
DO-002 Piloto
DO-003 a DO-006 Cierre</t>
  </si>
  <si>
    <t xml:space="preserve">Tiempo por recurso (I1); latencia (I11); disponibilidad (I13); seguridad (I14); usabilidad (I12); cumplimiento de sprint (I15).</t>
  </si>
  <si>
    <t xml:space="preserve">Carta del proyecto</t>
  </si>
  <si>
    <t xml:space="preserve">Total</t>
  </si>
  <si>
    <t xml:space="preserve">Sprint Backlog integrado (Product Backlog + Entregables)</t>
  </si>
  <si>
    <t xml:space="preserve">Mismos ítems y estimaciones del documento Product Backlog oficial. Semanas expresadas en semanas del curso (4 a 15). Capacidad por sprint: 4 integrantes × 10 h × 4 semanas ÷ 2,5 h por punto ≈ 64 SP.</t>
  </si>
  <si>
    <t xml:space="preserve">Sprint</t>
  </si>
  <si>
    <t xml:space="preserve">Semana inicio</t>
  </si>
  <si>
    <t xml:space="preserve">Semana fin</t>
  </si>
  <si>
    <t xml:space="preserve">ID</t>
  </si>
  <si>
    <t xml:space="preserve">Tipo</t>
  </si>
  <si>
    <t xml:space="preserve">Épica</t>
  </si>
  <si>
    <t xml:space="preserve">Título corto</t>
  </si>
  <si>
    <t xml:space="preserve">Historia de usuario / descripción</t>
  </si>
  <si>
    <t xml:space="preserve">Criterios de aceptación</t>
  </si>
  <si>
    <t xml:space="preserve">SP</t>
  </si>
  <si>
    <t xml:space="preserve">Brecha asociada</t>
  </si>
  <si>
    <t xml:space="preserve">Dependencias</t>
  </si>
  <si>
    <t xml:space="preserve">Prioridad</t>
  </si>
  <si>
    <t xml:space="preserve">¿Núcleo del MVP?</t>
  </si>
  <si>
    <t xml:space="preserve">Estado</t>
  </si>
  <si>
    <t xml:space="preserve">Sprint 1 — MVP</t>
  </si>
  <si>
    <t xml:space="preserve">EN-001</t>
  </si>
  <si>
    <t xml:space="preserve">Habilitador</t>
  </si>
  <si>
    <t xml:space="preserve">EP-001 · Arquitectura, contratos y sistema de diseño</t>
  </si>
  <si>
    <t xml:space="preserve">Documento de arquitectura del sistema</t>
  </si>
  <si>
    <t xml:space="preserve">Definir la arquitectura por capas con vistas de contexto, contenedores y componentes, para que los cuatro módulos se construyan sobre una misma estructura.</t>
  </si>
  <si>
    <t xml:space="preserve">- Vistas de contexto, contenedores y componentes documentadas.
- Decisiones registradas como ADR numerados.
- Revisado por el asesor antes de programar.</t>
  </si>
  <si>
    <t xml:space="preserve">Alta</t>
  </si>
  <si>
    <t xml:space="preserve">Sí</t>
  </si>
  <si>
    <t xml:space="preserve">Pendiente</t>
  </si>
  <si>
    <t xml:space="preserve">EN-002</t>
  </si>
  <si>
    <t xml:space="preserve">Modelo de datos relacional y vectorial</t>
  </si>
  <si>
    <t xml:space="preserve">Definir el modelo relacional y el esquema del índice vectorial para almacenar unidades, recursos, fragmentos y decisiones de revisión.</t>
  </si>
  <si>
    <t xml:space="preserve">- Diagrama entidad-relación aprobado.
- Tabla de fragmentos con metadatos y columna de embedding.
- Migraciones versionadas.</t>
  </si>
  <si>
    <t xml:space="preserve">Interno</t>
  </si>
  <si>
    <t xml:space="preserve">EN-003</t>
  </si>
  <si>
    <t xml:space="preserve">Contratos JSON de generación por tipo de recurso</t>
  </si>
  <si>
    <t xml:space="preserve">Definir contratos JSON versionados de entrada y salida, con campos de trazabilidad y códigos de rechazo, para que la generación y la interfaz evolucionen sin romperse.</t>
  </si>
  <si>
    <t xml:space="preserve">- Esquema por tipo de recurso validado.
- Campos de trazabilidad obligatorios.
- Códigos de rechazo por evidencia insuficiente.</t>
  </si>
  <si>
    <t xml:space="preserve">EN-004</t>
  </si>
  <si>
    <t xml:space="preserve">EP-009 · Métricas, indicadores y evaluación</t>
  </si>
  <si>
    <t xml:space="preserve">Línea base manual de tiempos con docentes</t>
  </si>
  <si>
    <t xml:space="preserve">Cronometrar cuánto tarda hoy un docente en elaborar un recurso, para poder comparar después el flujo asistido.</t>
  </si>
  <si>
    <t xml:space="preserve">- Al menos tres docentes cronometrados.
- Ficha de registro por recurso y por etapa.
- Promedio y desviación documentados (indicador I1).</t>
  </si>
  <si>
    <t xml:space="preserve">HU-001</t>
  </si>
  <si>
    <t xml:space="preserve">Historia de usuario</t>
  </si>
  <si>
    <t xml:space="preserve">Sistema de diseño y prototipo navegable</t>
  </si>
  <si>
    <t xml:space="preserve">Como docente, quiero una interfaz con lenguaje visual consistente en todas las etapas, para no reaprender la herramienta en cada tipo de recurso.</t>
  </si>
  <si>
    <t xml:space="preserve">- Paleta, tipografía, espaciado y componentes documentados.
- Prototipo navegable de los flujos principales.
- Validado con al menos dos docentes.</t>
  </si>
  <si>
    <t xml:space="preserve">SP-001</t>
  </si>
  <si>
    <t xml:space="preserve">Spike</t>
  </si>
  <si>
    <t xml:space="preserve">EP-008 · Interoperabilidad y publicación en el LMS</t>
  </si>
  <si>
    <t xml:space="preserve">Spike: selección de los LMS objetivo</t>
  </si>
  <si>
    <t xml:space="preserve">Investigar qué plataformas de código abierto están vigentes y soportan el estándar, para fijar los LMS objetivo con evidencia y no por supuesto.</t>
  </si>
  <si>
    <t xml:space="preserve">- Entregable: matriz de compatibilidad con al menos tres LMS instalados.
- Importación manual de un paquete QTI por plataforma.
- Resultado por versión del estándar y actividad del repositorio.</t>
  </si>
  <si>
    <t xml:space="preserve">SP-002</t>
  </si>
  <si>
    <t xml:space="preserve">EP-002 · Ingesta y base de conocimiento vectorial</t>
  </si>
  <si>
    <t xml:space="preserve">Spike: modelo de embeddings y motor vectorial</t>
  </si>
  <si>
    <t xml:space="preserve">Comparar modelos de embeddings multilingües y motores de base vectorial, para elegir los que mejor rinden en español dentro del presupuesto.</t>
  </si>
  <si>
    <t xml:space="preserve">- Entregable: comparativa de al menos dos modelos y dos motores.
- Criterios: calidad en español, costo y latencia.
- Recomendación argumentada y registrada como ADR.</t>
  </si>
  <si>
    <t xml:space="preserve">Chen et al. (2024)</t>
  </si>
  <si>
    <t xml:space="preserve">TA-001</t>
  </si>
  <si>
    <t xml:space="preserve">Tarea técnica</t>
  </si>
  <si>
    <t xml:space="preserve">Proyectos base de frontend y backend</t>
  </si>
  <si>
    <t xml:space="preserve">Crear los proyectos base con enrutamiento, autenticación por rol y manejo uniforme de errores, para no improvisar convenciones en cada módulo.</t>
  </si>
  <si>
    <t xml:space="preserve">- Endpoints de referencia funcionando.
- Roles docente, estudiante y administrador.
- Formato único de error y registro de auditoría.</t>
  </si>
  <si>
    <t xml:space="preserve">HU-002</t>
  </si>
  <si>
    <t xml:space="preserve">Cargar material y extraer su texto</t>
  </si>
  <si>
    <t xml:space="preserve">Como docente, quiero cargar material en PDF, PPTX y texto y que el sistema extraiga su contenido conservando la referencia de página, para poder rastrear el origen de cada recurso.</t>
  </si>
  <si>
    <t xml:space="preserve">- Extracción con estructura (títulos, listas, tablas).
- Referencia de página o diapositiva por fragmento.
- Descarte de encabezados y pies repetidos.</t>
  </si>
  <si>
    <t xml:space="preserve">HU-003</t>
  </si>
  <si>
    <t xml:space="preserve">Segmentar el material y etiquetar metadatos</t>
  </si>
  <si>
    <t xml:space="preserve">Como arquitecto de datos, quiero segmentar el material en fragmentos semánticos etiquetados por curso, unidad y resultado de aprendizaje, para acotar la recuperación al alcance definido.</t>
  </si>
  <si>
    <t xml:space="preserve">- Fragmentos de 300 a 600 tokens con solapamiento configurable.
- Metadatos obligatorios por fragmento.
- Etapa 5E sugerida como metadato editable.</t>
  </si>
  <si>
    <t xml:space="preserve">HU-004</t>
  </si>
  <si>
    <t xml:space="preserve">Vectorizar e indexar de forma incremental</t>
  </si>
  <si>
    <t xml:space="preserve">Como arquitecto de datos, quiero vectorizar e indexar los fragmentos de forma incremental, para no reprocesar todo el corpus al agregar un documento.</t>
  </si>
  <si>
    <t xml:space="preserve">- Embeddings multilingües generados por lote.
- Indexación incremental por unidad.
- Caché para no recomputar fragmentos sin cambios.</t>
  </si>
  <si>
    <t xml:space="preserve">SP-002, HU-003</t>
  </si>
  <si>
    <t xml:space="preserve">HU-005</t>
  </si>
  <si>
    <t xml:space="preserve">EP-003 · Recuperación y generación anclada (RAG)</t>
  </si>
  <si>
    <t xml:space="preserve">Recuperación híbrida con filtro por unidad</t>
  </si>
  <si>
    <t xml:space="preserve">Como sistema, quiero recuperar evidencia combinando búsqueda densa y léxica con filtrado por metadatos, para que la generación parta de los fragmentos pertinentes.</t>
  </si>
  <si>
    <t xml:space="preserve">- Fusión de resultados densos y BM25.
- Filtro previo por unidad y etapa.
- Top-k configurable.</t>
  </si>
  <si>
    <t xml:space="preserve">Lewis et al. (2020)</t>
  </si>
  <si>
    <t xml:space="preserve">HU-006</t>
  </si>
  <si>
    <t xml:space="preserve">Generación anclada con citación por afirmación</t>
  </si>
  <si>
    <t xml:space="preserve">Como sistema, quiero generar cada recurso en formato estructurado citando los fragmentos que lo sustentan, para que el docente pueda auditar su origen.</t>
  </si>
  <si>
    <t xml:space="preserve">- Salida conforme al contrato JSON.
- Cada afirmación referencia identificadores de fragmento.
- Trazabilidad mayor o igual al 95 % (I22).</t>
  </si>
  <si>
    <t xml:space="preserve">EN-003, HU-005</t>
  </si>
  <si>
    <t xml:space="preserve">HU-007</t>
  </si>
  <si>
    <t xml:space="preserve">Verificación de anclaje y rechazo por falta de evidencia</t>
  </si>
  <si>
    <t xml:space="preserve">Como docente, quiero que el sistema rechace el contenido que no pueda respaldar con mi material, para no revisar texto inventado.</t>
  </si>
  <si>
    <t xml:space="preserve">- Verificación automática de correspondencia afirmación-fragmento.
- Umbral mínimo de evidencia configurable.
- Tasa de alucinación menor o igual al 3 % en muestreo (I21).</t>
  </si>
  <si>
    <t xml:space="preserve">Ji et al. (2023)</t>
  </si>
  <si>
    <t xml:space="preserve">HU-008</t>
  </si>
  <si>
    <t xml:space="preserve">EP-004 · Etapa Evaluate: ítems y distractores plausibles</t>
  </si>
  <si>
    <t xml:space="preserve">Generar ítem con clave y retroalimentación</t>
  </si>
  <si>
    <t xml:space="preserve">Como docente, quiero obtener ítems de opción múltiple con clave y retroalimentación generados desde mi material, para no redactarlos desde cero.</t>
  </si>
  <si>
    <t xml:space="preserve">- Enunciado, clave y retroalimentación por alternativa.
- Cada ítem cita su fragmento de origen.
- Asociado a un resultado de aprendizaje.</t>
  </si>
  <si>
    <t xml:space="preserve">HU-009</t>
  </si>
  <si>
    <t xml:space="preserve">Distractores por vecindad vectorial</t>
  </si>
  <si>
    <t xml:space="preserve">Como docente, quiero que los distractores provengan de conceptos vecinos del propio corpus, para que resulten plausibles y no absurdos.</t>
  </si>
  <si>
    <t xml:space="preserve">- Candidatos recuperados por vecindad vectorial dentro de la unidad.
- Diversificación por relevancia marginal.
- Distractores sin sentido menor o igual al 10 % en validación experta (I3).</t>
  </si>
  <si>
    <t xml:space="preserve">Bitew et al. (2023)</t>
  </si>
  <si>
    <t xml:space="preserve">HU-010</t>
  </si>
  <si>
    <t xml:space="preserve">EP-007 · Revisión docente y trazabilidad</t>
  </si>
  <si>
    <t xml:space="preserve">Panel de revisión docente con evidencia</t>
  </si>
  <si>
    <t xml:space="preserve">Como docente, quiero revisar cada recurso con su evidencia a la vista y aceptarlo, editarlo o descartarlo, para conservar el control pedagógico de lo que se publica.</t>
  </si>
  <si>
    <t xml:space="preserve">- Fragmento de origen visible junto al recurso.
- Las tres acciones disponibles por recurso y por distractor.
- Nada se publica sin aprobación explícita.</t>
  </si>
  <si>
    <t xml:space="preserve">HU-001, HU-008</t>
  </si>
  <si>
    <t xml:space="preserve">Feng et al. (2024)</t>
  </si>
  <si>
    <t xml:space="preserve">DO-001</t>
  </si>
  <si>
    <t xml:space="preserve">Documentación</t>
  </si>
  <si>
    <t xml:space="preserve">Demo del MVP y primeras métricas</t>
  </si>
  <si>
    <t xml:space="preserve">Demostrar el flujo completo de la etapa Evaluate y reportar los indicadores del motor, para cerrar el Sprint 1 con evidencia.</t>
  </si>
  <si>
    <t xml:space="preserve">- Un comando genera ítems anclados desde un documento real.
- Se reportan I3, I6, I20, I21 e I22.
- Acta de Sprint Review con acuerdos.</t>
  </si>
  <si>
    <t xml:space="preserve">HU-007, HU-010</t>
  </si>
  <si>
    <t xml:space="preserve">Sprint 2 — Producto final</t>
  </si>
  <si>
    <t xml:space="preserve">BU-001</t>
  </si>
  <si>
    <t xml:space="preserve">Defecto</t>
  </si>
  <si>
    <t xml:space="preserve">EP-006 · Orquestación de la secuencia 5E y memoria de contexto</t>
  </si>
  <si>
    <t xml:space="preserve">Defectos detectados en la Sprint Review 1</t>
  </si>
  <si>
    <t xml:space="preserve">Cerrar los defectos registrados durante la demostración del MVP para no arrastrarlos al producto final.</t>
  </si>
  <si>
    <t xml:space="preserve">- Cada defecto queda cerrado o reprogramado con justificación.
- Regresión verificada sobre el flujo del MVP.</t>
  </si>
  <si>
    <t xml:space="preserve">EN-005</t>
  </si>
  <si>
    <t xml:space="preserve">Conjunto de evaluación de la recuperación</t>
  </si>
  <si>
    <t xml:space="preserve">Construir un conjunto de consultas anotadas con sus fragmentos relevantes, para medir el motor con evidencia y no por impresión.</t>
  </si>
  <si>
    <t xml:space="preserve">- Al menos 100 consultas anotadas.
- Script que calcula recall@k y precisión media.
- recall@10 mayor o igual a 0,80 en la corrida de cierre (I20).</t>
  </si>
  <si>
    <t xml:space="preserve">Es et al. (2024)</t>
  </si>
  <si>
    <t xml:space="preserve">EN-006</t>
  </si>
  <si>
    <t xml:space="preserve">Registro de decisiones de revisión</t>
  </si>
  <si>
    <t xml:space="preserve">Registrar cada acción de aceptar, editar o descartar, para calcular la aceptación directa y la tasa de distractores sin sentido desde el uso real.</t>
  </si>
  <si>
    <t xml:space="preserve">- Registro de acción, recurso, usuario y marca de tiempo.
- Cálculo automático de I2 e I3.</t>
  </si>
  <si>
    <t xml:space="preserve">HU-011</t>
  </si>
  <si>
    <t xml:space="preserve">EP-005 · Etapas Engage, Explore, Explain y Elaborate</t>
  </si>
  <si>
    <t xml:space="preserve">Etapa Explain: explicaciones citadas</t>
  </si>
  <si>
    <t xml:space="preserve">Como docente, quiero resúmenes y explicaciones estructuradas con citación del fragmento de origen, para formalizar el concepto sin reescribir mi material.</t>
  </si>
  <si>
    <t xml:space="preserve">- Explicación por concepto clave de la unidad.
- Cada párrafo enlazado a su evidencia.
- Sin afirmaciones no respaldadas.</t>
  </si>
  <si>
    <t xml:space="preserve">Bybee et al. (2006)</t>
  </si>
  <si>
    <t xml:space="preserve">HU-012</t>
  </si>
  <si>
    <t xml:space="preserve">Etapa Engage: disparadores y sondeo de ideas previas</t>
  </si>
  <si>
    <t xml:space="preserve">Como docente, quiero preguntas detonantes y un sondeo diagnóstico anclados a mi material, para iniciar la unidad activando conocimientos previos.</t>
  </si>
  <si>
    <t xml:space="preserve">- Tres disparadores por unidad con evidencia citada.
- Sondeo diagnóstico de cinco reactivos.
- Validados con la rúbrica de la etapa.</t>
  </si>
  <si>
    <t xml:space="preserve">Media</t>
  </si>
  <si>
    <t xml:space="preserve">HU-013</t>
  </si>
  <si>
    <t xml:space="preserve">Etapa Explore: guías de indagación y casos</t>
  </si>
  <si>
    <t xml:space="preserve">Como docente, quiero guías de exploración y casos con preguntas de indagación, para que el estudiante manipule el concepto antes de la explicación formal.</t>
  </si>
  <si>
    <t xml:space="preserve">- Guía con consignas de indagación y evidencia citada.
- Caso derivado del corpus, no inventado.
- Validada con la rúbrica de la etapa.</t>
  </si>
  <si>
    <t xml:space="preserve">HU-014</t>
  </si>
  <si>
    <t xml:space="preserve">Plan de la secuencia 5E por unidad</t>
  </si>
  <si>
    <t xml:space="preserve">Como docente, quiero que el sistema planifique la secuencia completa de las cinco etapas para una unidad, para obtener un diseño instruccional coherente y no recursos sueltos.</t>
  </si>
  <si>
    <t xml:space="preserve">- Plan con recursos propuestos por etapa.
- Cobertura del 100 % de etapas y resultados de aprendizaje (I23).
- Plan editable antes de generar.</t>
  </si>
  <si>
    <t xml:space="preserve">HU-011, HU-013</t>
  </si>
  <si>
    <t xml:space="preserve">Polanin et al. (2024)</t>
  </si>
  <si>
    <t xml:space="preserve">HU-015</t>
  </si>
  <si>
    <t xml:space="preserve">Filtro de fiabilidad y control de similitud</t>
  </si>
  <si>
    <t xml:space="preserve">Como docente, quiero que el sistema descarte distractores que también sean correctos o casi idénticos a la clave, para no publicar ítems defectuosos.</t>
  </si>
  <si>
    <t xml:space="preserve">- Verificación de fiabilidad contra la evidencia (I5 menor o igual al 5 %).
- Descarte por similitud superior al umbral de equivalencia (I7).</t>
  </si>
  <si>
    <t xml:space="preserve">HU-016</t>
  </si>
  <si>
    <t xml:space="preserve">Reindexar los recursos aprobados</t>
  </si>
  <si>
    <t xml:space="preserve">Como sistema, quiero reindexar los recursos aprobados como evidencia de segundo orden, para que las etapas siguientes no repitan ni contradigan lo ya explicado.</t>
  </si>
  <si>
    <t xml:space="preserve">- Recurso aprobado disponible para recuperación posterior.
- Detección de duplicidad por similitud superior a 0,90.
- Alerta de contradicción entre etapas.</t>
  </si>
  <si>
    <t xml:space="preserve">HU-017</t>
  </si>
  <si>
    <t xml:space="preserve">Etapa Elaborate: ejercicios de transferencia</t>
  </si>
  <si>
    <t xml:space="preserve">Como docente, quiero ejercicios de aplicación y asignaciones en contextos nuevos, para que el estudiante transfiera lo aprendido.</t>
  </si>
  <si>
    <t xml:space="preserve">- Tres ejercicios por unidad con solución de referencia.
- Contexto distinto al del material original.</t>
  </si>
  <si>
    <t xml:space="preserve">Baja</t>
  </si>
  <si>
    <t xml:space="preserve">HU-018</t>
  </si>
  <si>
    <t xml:space="preserve">Exportar los ítems en QTI 3.0</t>
  </si>
  <si>
    <t xml:space="preserve">Como docente, quiero exportar los recursos aprobados en QTI 3.0, para importarlos en la plataforma que ya uso.</t>
  </si>
  <si>
    <t xml:space="preserve">- Paquete válido ante el validador de conformidad (I16 = 100 %).
- Enunciado, alternativas, clave y retroalimentación preservados (I19).</t>
  </si>
  <si>
    <t xml:space="preserve">SP-001, HU-010</t>
  </si>
  <si>
    <t xml:space="preserve">1EdTech (2022)</t>
  </si>
  <si>
    <t xml:space="preserve">HU-019</t>
  </si>
  <si>
    <t xml:space="preserve">Empaquetar en SCORM o Common Cartridge</t>
  </si>
  <si>
    <t xml:space="preserve">Como docente, quiero empaquetar la secuencia completa en SCORM o Common Cartridge, para publicar material y evaluación juntos.</t>
  </si>
  <si>
    <t xml:space="preserve">- Manifiesto conforme al estándar.
- Recursos de las cinco etapas incluidos en el paquete.</t>
  </si>
  <si>
    <t xml:space="preserve">HU-020</t>
  </si>
  <si>
    <t xml:space="preserve">Analítica de ítems con respuestas de estudiantes</t>
  </si>
  <si>
    <t xml:space="preserve">Como docente, quiero el análisis de ítems con las respuestas de los estudiantes, para detectar preguntas que no discriminan.</t>
  </si>
  <si>
    <t xml:space="preserve">- Dificultad, discriminación y eficiencia de distractores por ítem (I8, I9, I10).
- Marca de ítems que requieren revisión.</t>
  </si>
  <si>
    <t xml:space="preserve">Testa et al. (2018)</t>
  </si>
  <si>
    <t xml:space="preserve">HU-021</t>
  </si>
  <si>
    <t xml:space="preserve">Tablero de indicadores del proyecto</t>
  </si>
  <si>
    <t xml:space="preserve">Como docente, quiero un tablero con los indicadores del proyecto, para saber si la herramienta cumple sus metas.</t>
  </si>
  <si>
    <t xml:space="preserve">- Indicadores I1, I2, I3, I9, I16, I17 y I20 a I23 visibles.
- Valor actual frente a meta.
- Corte por unidad y por periodo.</t>
  </si>
  <si>
    <t xml:space="preserve">RN-002</t>
  </si>
  <si>
    <t xml:space="preserve">Requisito no funcional</t>
  </si>
  <si>
    <t xml:space="preserve">Disponibilidad del servicio durante el piloto</t>
  </si>
  <si>
    <t xml:space="preserve">Mantener el servicio operativo al menos el 99 % del periodo de piloto, ya que la demanda docente se concentra en pocas semanas.</t>
  </si>
  <si>
    <t xml:space="preserve">- Monitor de disponibilidad activo.
- Disponibilidad mayor o igual al 99 % (I13).</t>
  </si>
  <si>
    <t xml:space="preserve">RN-003</t>
  </si>
  <si>
    <t xml:space="preserve">Control de acceso por rol y escaneo de seguridad</t>
  </si>
  <si>
    <t xml:space="preserve">Proteger el material del docente y los resultados de los estudiantes mediante autorización por rol y ausencia de vulnerabilidades críticas.</t>
  </si>
  <si>
    <t xml:space="preserve">- 100 % de endpoints con autorización por rol (I14).
- Cero vulnerabilidades altas o críticas en el escaneo.</t>
  </si>
  <si>
    <t xml:space="preserve">OWASP ASVS nivel 1</t>
  </si>
  <si>
    <t xml:space="preserve">TA-002</t>
  </si>
  <si>
    <t xml:space="preserve">Rutina de pruebas de importación en los LMS</t>
  </si>
  <si>
    <t xml:space="preserve">Automatizar las pruebas de importación en los LMS objetivo, para verificar la portabilidad antes de cada entrega.</t>
  </si>
  <si>
    <t xml:space="preserve">- Importación exitosa mayor o igual al 95 % de los intentos (I17).
- Mismo paquete verificado en al menos dos LMS (I18).
- Bitácora por plataforma y versión.</t>
  </si>
  <si>
    <t xml:space="preserve">DO-002</t>
  </si>
  <si>
    <t xml:space="preserve">Piloto con docentes y estudiantes</t>
  </si>
  <si>
    <t xml:space="preserve">Ejecutar el piloto sobre un LMS real para medir el impacto con datos y no con estimaciones.</t>
  </si>
  <si>
    <t xml:space="preserve">- Un docente prepara y publica una secuencia completa.
- Al menos 30 estudiantes resuelven la evaluación.
- Se miden I1, I2, I8 a I14 y SUS (I12).</t>
  </si>
  <si>
    <t xml:space="preserve">TA-002, HU-021</t>
  </si>
  <si>
    <t xml:space="preserve">RN-001</t>
  </si>
  <si>
    <t xml:space="preserve">Latencia de recuperación y generación</t>
  </si>
  <si>
    <t xml:space="preserve">Asegurar que la recuperación responda en menos de 2 segundos y la generación de un recurso en menos de 15 segundos en el percentil 95.</t>
  </si>
  <si>
    <t xml:space="preserve">- Pruebas de carga documentadas.
- Latencia p95 dentro de las metas (I11).</t>
  </si>
  <si>
    <t xml:space="preserve">Cierre — Reporte y Capstone</t>
  </si>
  <si>
    <t xml:space="preserve">DO-003</t>
  </si>
  <si>
    <t xml:space="preserve">EP-010 · Cierre y entrega final</t>
  </si>
  <si>
    <t xml:space="preserve">Reporte técnico con resultados por indicador</t>
  </si>
  <si>
    <t xml:space="preserve">Elaborar el reporte técnico que compara cada indicador con su meta, para sustentar los resultados del proyecto.</t>
  </si>
  <si>
    <t xml:space="preserve">- Tabla de los 23 indicadores con valor y meta.
- Discusión de brechas cerradas y pendientes.</t>
  </si>
  <si>
    <t xml:space="preserve">DO-004</t>
  </si>
  <si>
    <t xml:space="preserve">Código versionado, manuales y despliegue</t>
  </si>
  <si>
    <t xml:space="preserve">Entregar el código documentado con manual de usuario y de despliegue, para que el componente pueda instalarse y mantenerse.</t>
  </si>
  <si>
    <t xml:space="preserve">- README con instalación y ejecución.
- Manual de usuario y de despliegue.
- Documentación de contratos y del canal RAG.</t>
  </si>
  <si>
    <t xml:space="preserve">DO-005</t>
  </si>
  <si>
    <t xml:space="preserve">Informe Capstone</t>
  </si>
  <si>
    <t xml:space="preserve">Consolidar el Capstone con la arquitectura, los resultados y las brechas, para la evaluación final del curso.</t>
  </si>
  <si>
    <t xml:space="preserve">- Cubre arquitectura, resultados y brechas.
- Revisado por el asesor.</t>
  </si>
  <si>
    <t xml:space="preserve">DO-006</t>
  </si>
  <si>
    <t xml:space="preserve">Presentación final del proyecto</t>
  </si>
  <si>
    <t xml:space="preserve">Preparar y ensayar la presentación final del proyecto de software.</t>
  </si>
  <si>
    <t xml:space="preserve">- Demostración en vivo del flujo 5E.
- Ensayada por los cuatro integrantes.</t>
  </si>
  <si>
    <t xml:space="preserve">Leyenda de tipos: EN = Habilitador · HU = Historia de usuario · SP = Spike · TA = Tarea técnica · RN = Requisito no funcional · DO = Documentación · BU = Defecto. El conjunto de evaluación de la recuperación (EN-005) se trasladó al inicio del Sprint 2 para no sobrecomprometer el Sprint 1.</t>
  </si>
  <si>
    <t xml:space="preserve">Cronograma semanal (Gantt) — se alimenta de la hoja «Sprint Backlog»</t>
  </si>
  <si>
    <t xml:space="preserve">Cada fila es un ítem del backlog; las celdas marcadas son las semanas en que ese ítem está activo. ■ planificado · ✔ hecho (cambia al marcar «Hecho» en la columna Estado).</t>
  </si>
  <si>
    <t xml:space="preserve">Sprint 1</t>
  </si>
  <si>
    <t xml:space="preserve">Sprint 2</t>
  </si>
  <si>
    <t xml:space="preserve">Cierre</t>
  </si>
  <si>
    <t xml:space="preserve">Fase carta</t>
  </si>
  <si>
    <t xml:space="preserve">Definir</t>
  </si>
  <si>
    <t xml:space="preserve">Medición</t>
  </si>
  <si>
    <t xml:space="preserve">Análisis</t>
  </si>
  <si>
    <t xml:space="preserve">Mejora</t>
  </si>
  <si>
    <t xml:space="preserve">Control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</si>
  <si>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</si>
  <si>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</si>
  <si>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</si>
  <si>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</si>
  <si>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</si>
  <si>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</si>
  <si>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</si>
  <si>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</si>
  <si>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</si>
  <si>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</si>
  <si>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</si>
  <si>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</si>
  <si>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Lunes de la semana 4:</t>
  </si>
  <si>
    <t xml:space="preserve">Inicio →</t>
  </si>
  <si>
    <t xml:space="preserve">SP activos por semana</t>
  </si>
  <si>
    <t xml:space="preserve">Capacidad y compromiso por sprint</t>
  </si>
  <si>
    <t xml:space="preserve">Semanas</t>
  </si>
  <si>
    <t xml:space="preserve">Capacidad (SP)</t>
  </si>
  <si>
    <t xml:space="preserve">Planificado (SP)</t>
  </si>
  <si>
    <t xml:space="preserve">Compromiso (SP)</t>
  </si>
  <si>
    <t xml:space="preserve">Observación</t>
  </si>
  <si>
    <t xml:space="preserve">4 a 7</t>
  </si>
  <si>
    <t xml:space="preserve">Todo el Sprint 1 es Must Have: se compromete completo.</t>
  </si>
  <si>
    <t xml:space="preserve">8 a 11</t>
  </si>
  <si>
    <t xml:space="preserve">Se comprometen las Must y Should; HU-012 (5 SP) y HU-017 (3 SP) son Could Have y quedan como colchón.</t>
  </si>
  <si>
    <t xml:space="preserve">12 a 15</t>
  </si>
  <si>
    <t xml:space="preserve">Documentación, Capstone y presentación; sin desarrollo nuevo.</t>
  </si>
  <si>
    <t xml:space="preserve">Registro de dedicación semanal (10 horas por integrante)</t>
  </si>
  <si>
    <t xml:space="preserve">Compromiso del equipo: 10 horas semanales por integrante, 40 horas de equipo por semana. Escriba las horas efectivamente trabajadas en las celdas azules; los totales se calculan solos.</t>
  </si>
  <si>
    <t xml:space="preserve">Semana del curso</t>
  </si>
  <si>
    <t xml:space="preserve">Fechas</t>
  </si>
  <si>
    <t xml:space="preserve">Foco de la semana</t>
  </si>
  <si>
    <t xml:space="preserve">Total equipo</t>
  </si>
  <si>
    <t xml:space="preserve">Evidencias (enlaces)</t>
  </si>
  <si>
    <t xml:space="preserve">24–30/08</t>
  </si>
  <si>
    <t xml:space="preserve">Inception: brechas, métricas y objetivos</t>
  </si>
  <si>
    <t xml:space="preserve">31/08–06/09</t>
  </si>
  <si>
    <t xml:space="preserve">Product Discovery: indicadores y estado del arte</t>
  </si>
  <si>
    <t xml:space="preserve">07–13/09</t>
  </si>
  <si>
    <t xml:space="preserve">Kick-off y Project Charter</t>
  </si>
  <si>
    <t xml:space="preserve">14–20/09</t>
  </si>
  <si>
    <t xml:space="preserve">Sprint Planning, backlog priorizado y prototipo</t>
  </si>
  <si>
    <t xml:space="preserve">21–27/09</t>
  </si>
  <si>
    <t xml:space="preserve">Sprint 1 · it. 1: arquitectura, datos, UX/UI, spikes y línea base</t>
  </si>
  <si>
    <t xml:space="preserve">28/09–04/10</t>
  </si>
  <si>
    <t xml:space="preserve">Sprint 1 · it. 1: ingesta, segmentación y vectorización</t>
  </si>
  <si>
    <t xml:space="preserve">05–11/10</t>
  </si>
  <si>
    <t xml:space="preserve">Sprint 1 · it. 2: recuperación, generación anclada y etapa Evaluate</t>
  </si>
  <si>
    <t xml:space="preserve">12–18/10</t>
  </si>
  <si>
    <t xml:space="preserve">Sprint Review 1, planificación del Sprint 2 y conjunto de evaluación</t>
  </si>
  <si>
    <t xml:space="preserve">19–25/10</t>
  </si>
  <si>
    <t xml:space="preserve">Sprint 2 · it. 1: etapas 5E y orquestador</t>
  </si>
  <si>
    <t xml:space="preserve">26/10–01/11</t>
  </si>
  <si>
    <t xml:space="preserve">Sprint 2 · it. 2: exportador, analítica y no funcionales</t>
  </si>
  <si>
    <t xml:space="preserve">02–08/11</t>
  </si>
  <si>
    <t xml:space="preserve">Sprint Review 2 y piloto con docentes y estudiantes</t>
  </si>
  <si>
    <t xml:space="preserve">09–15/11</t>
  </si>
  <si>
    <t xml:space="preserve">Análisis de resultados y reporte técnico</t>
  </si>
  <si>
    <t xml:space="preserve">16–22/11</t>
  </si>
  <si>
    <t xml:space="preserve">Reporte técnico y Capstone</t>
  </si>
  <si>
    <t xml:space="preserve">23–29/11</t>
  </si>
  <si>
    <t xml:space="preserve">Capstone</t>
  </si>
  <si>
    <t xml:space="preserve">30/11–06/12</t>
  </si>
  <si>
    <t xml:space="preserve">Presentación final</t>
  </si>
  <si>
    <t xml:space="preserve">Horas acumuladas del ciclo</t>
  </si>
  <si>
    <t xml:space="preserve">Celdas azules: horas a registrar cada semana (valor inicial 10 h, el compromiso del equipo). Ejemplo de evidencia: enlace al commit, al documento entregado o al acta de la reunión.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</si>
</sst>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"/>
    <numFmt numFmtId="167" formatCode="dd/mm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70AD47"/>
        </patternFill>
      </fill>
    </dxf>
    <dxf>
      <fill>
        <patternFill>
          <bgColor rgb="FF2E75B6"/>
        </patternFill>
      </fill>
    </dxf>
    <dxf>
      <fill>
        <patternFill>
          <bgColor rgb="FF54823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7" min="6" style="0" width="34"/>
    <col collapsed="false" customWidth="true" hidden="false" outlineLevel="0" max="8" min="8" style="0" width="10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0" hidden="false" customHeight="tru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5" t="n">
        <f aca="false">SUMIFS('Sprint Backlog'!$J:$J,'Sprint Backlog'!$L:$L,A5)</f>
        <v>31</v>
      </c>
      <c r="I5" s="4" t="s">
        <v>18</v>
      </c>
    </row>
    <row r="6" customFormat="false" ht="150" hidden="false" customHeight="true" outlineLevel="0" collapsed="false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 t="s">
        <v>25</v>
      </c>
      <c r="H6" s="5" t="n">
        <f aca="false">SUMIFS('Sprint Backlog'!$J:$J,'Sprint Backlog'!$L:$L,A6)</f>
        <v>23</v>
      </c>
      <c r="I6" s="4" t="s">
        <v>26</v>
      </c>
    </row>
    <row r="7" customFormat="false" ht="150" hidden="false" customHeight="true" outlineLevel="0" collapsed="false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  <c r="H7" s="5" t="n">
        <f aca="false">SUMIFS('Sprint Backlog'!$J:$J,'Sprint Backlog'!$L:$L,A7)</f>
        <v>25</v>
      </c>
      <c r="I7" s="4" t="s">
        <v>34</v>
      </c>
    </row>
    <row r="8" customFormat="false" ht="150" hidden="false" customHeight="true" outlineLevel="0" collapsed="false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5" t="n">
        <f aca="false">SUMIFS('Sprint Backlog'!$J:$J,'Sprint Backlog'!$L:$L,A8)</f>
        <v>21</v>
      </c>
      <c r="I8" s="4" t="s">
        <v>42</v>
      </c>
    </row>
    <row r="10" customFormat="false" ht="120" hidden="false" customHeight="true" outlineLevel="0" collapsed="false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  <c r="H10" s="5" t="n">
        <f aca="false">SUMIFS('Sprint Backlog'!$J:$J,'Sprint Backlog'!$L:$L,A10)</f>
        <v>48</v>
      </c>
      <c r="I10" s="4" t="s">
        <v>50</v>
      </c>
    </row>
    <row r="11" customFormat="false" ht="19.5" hidden="false" customHeight="true" outlineLevel="0" collapsed="false">
      <c r="A11" s="6" t="s">
        <v>51</v>
      </c>
      <c r="B11" s="6"/>
      <c r="C11" s="6"/>
      <c r="D11" s="6"/>
      <c r="E11" s="6"/>
      <c r="F11" s="6"/>
      <c r="G11" s="6"/>
      <c r="H11" s="7" t="n">
        <f aca="false">SUM(H5:H10)</f>
        <v>148</v>
      </c>
      <c r="I1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9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50"/>
    <col collapsed="false" customWidth="true" hidden="false" outlineLevel="0" max="9" min="9" style="0" width="58"/>
    <col collapsed="false" customWidth="true" hidden="false" outlineLevel="0" max="10" min="10" style="0" width="6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4" min="14" style="0" width="10"/>
    <col collapsed="false" customWidth="true" hidden="false" outlineLevel="0" max="15" min="15" style="0" width="16"/>
    <col collapsed="false" customWidth="true" hidden="false" outlineLevel="0" max="16" min="16" style="0" width="13"/>
    <col collapsed="false" customWidth="true" hidden="false" outlineLevel="0" max="17" min="17" style="0" width="22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30" hidden="false" customHeight="true" outlineLevel="0" collapsed="false">
      <c r="A4" s="3" t="s">
        <v>54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3</v>
      </c>
      <c r="L4" s="3" t="s">
        <v>64</v>
      </c>
      <c r="M4" s="3" t="s">
        <v>65</v>
      </c>
      <c r="N4" s="3" t="s">
        <v>66</v>
      </c>
      <c r="O4" s="3" t="s">
        <v>67</v>
      </c>
      <c r="P4" s="3" t="s">
        <v>68</v>
      </c>
      <c r="Q4" s="3" t="s">
        <v>10</v>
      </c>
    </row>
    <row r="5" customFormat="false" ht="61.5" hidden="false" customHeight="true" outlineLevel="0" collapsed="false">
      <c r="A5" s="4" t="s">
        <v>69</v>
      </c>
      <c r="B5" s="8" t="n">
        <v>4</v>
      </c>
      <c r="C5" s="8" t="n">
        <v>4</v>
      </c>
      <c r="D5" s="4" t="s">
        <v>70</v>
      </c>
      <c r="E5" s="4" t="s">
        <v>71</v>
      </c>
      <c r="F5" s="4" t="s">
        <v>72</v>
      </c>
      <c r="G5" s="4" t="s">
        <v>73</v>
      </c>
      <c r="H5" s="4" t="s">
        <v>74</v>
      </c>
      <c r="I5" s="4" t="s">
        <v>75</v>
      </c>
      <c r="J5" s="8" t="n">
        <v>3</v>
      </c>
      <c r="K5" s="4" t="s">
        <v>36</v>
      </c>
      <c r="L5" s="4" t="s">
        <v>43</v>
      </c>
      <c r="M5" s="4" t="s">
        <v>23</v>
      </c>
      <c r="N5" s="8" t="s">
        <v>76</v>
      </c>
      <c r="O5" s="8" t="s">
        <v>77</v>
      </c>
      <c r="P5" s="8" t="s">
        <v>78</v>
      </c>
      <c r="Q5" s="4" t="s">
        <v>50</v>
      </c>
    </row>
    <row r="6" customFormat="false" ht="61.5" hidden="false" customHeight="true" outlineLevel="0" collapsed="false">
      <c r="A6" s="4" t="s">
        <v>69</v>
      </c>
      <c r="B6" s="8" t="n">
        <v>4</v>
      </c>
      <c r="C6" s="8" t="n">
        <v>5</v>
      </c>
      <c r="D6" s="4" t="s">
        <v>79</v>
      </c>
      <c r="E6" s="4" t="s">
        <v>71</v>
      </c>
      <c r="F6" s="4" t="s">
        <v>72</v>
      </c>
      <c r="G6" s="4" t="s">
        <v>80</v>
      </c>
      <c r="H6" s="4" t="s">
        <v>81</v>
      </c>
      <c r="I6" s="4" t="s">
        <v>82</v>
      </c>
      <c r="J6" s="8" t="n">
        <v>3</v>
      </c>
      <c r="K6" s="4" t="s">
        <v>12</v>
      </c>
      <c r="L6" s="4" t="s">
        <v>43</v>
      </c>
      <c r="M6" s="4" t="s">
        <v>70</v>
      </c>
      <c r="N6" s="8" t="s">
        <v>76</v>
      </c>
      <c r="O6" s="8" t="s">
        <v>77</v>
      </c>
      <c r="P6" s="8" t="s">
        <v>78</v>
      </c>
      <c r="Q6" s="4" t="s">
        <v>83</v>
      </c>
    </row>
    <row r="7" customFormat="false" ht="61.5" hidden="false" customHeight="true" outlineLevel="0" collapsed="false">
      <c r="A7" s="4" t="s">
        <v>69</v>
      </c>
      <c r="B7" s="8" t="n">
        <v>4</v>
      </c>
      <c r="C7" s="8" t="n">
        <v>5</v>
      </c>
      <c r="D7" s="4" t="s">
        <v>84</v>
      </c>
      <c r="E7" s="4" t="s">
        <v>71</v>
      </c>
      <c r="F7" s="4" t="s">
        <v>72</v>
      </c>
      <c r="G7" s="4" t="s">
        <v>85</v>
      </c>
      <c r="H7" s="4" t="s">
        <v>86</v>
      </c>
      <c r="I7" s="4" t="s">
        <v>87</v>
      </c>
      <c r="J7" s="8" t="n">
        <v>2</v>
      </c>
      <c r="K7" s="4" t="s">
        <v>12</v>
      </c>
      <c r="L7" s="4" t="s">
        <v>11</v>
      </c>
      <c r="M7" s="4" t="s">
        <v>70</v>
      </c>
      <c r="N7" s="8" t="s">
        <v>76</v>
      </c>
      <c r="O7" s="8" t="s">
        <v>77</v>
      </c>
      <c r="P7" s="8" t="s">
        <v>78</v>
      </c>
      <c r="Q7" s="4" t="s">
        <v>83</v>
      </c>
    </row>
    <row r="8" customFormat="false" ht="61.5" hidden="false" customHeight="true" outlineLevel="0" collapsed="false">
      <c r="A8" s="4" t="s">
        <v>69</v>
      </c>
      <c r="B8" s="8" t="n">
        <v>4</v>
      </c>
      <c r="C8" s="8" t="n">
        <v>5</v>
      </c>
      <c r="D8" s="4" t="s">
        <v>88</v>
      </c>
      <c r="E8" s="4" t="s">
        <v>71</v>
      </c>
      <c r="F8" s="4" t="s">
        <v>89</v>
      </c>
      <c r="G8" s="4" t="s">
        <v>90</v>
      </c>
      <c r="H8" s="4" t="s">
        <v>91</v>
      </c>
      <c r="I8" s="4" t="s">
        <v>92</v>
      </c>
      <c r="J8" s="8" t="n">
        <v>2</v>
      </c>
      <c r="K8" s="4" t="s">
        <v>20</v>
      </c>
      <c r="L8" s="4" t="s">
        <v>43</v>
      </c>
      <c r="M8" s="4" t="s">
        <v>23</v>
      </c>
      <c r="N8" s="8" t="s">
        <v>76</v>
      </c>
      <c r="O8" s="8" t="s">
        <v>77</v>
      </c>
      <c r="P8" s="8" t="s">
        <v>78</v>
      </c>
      <c r="Q8" s="4" t="s">
        <v>50</v>
      </c>
    </row>
    <row r="9" customFormat="false" ht="61.5" hidden="false" customHeight="true" outlineLevel="0" collapsed="false">
      <c r="A9" s="4" t="s">
        <v>69</v>
      </c>
      <c r="B9" s="8" t="n">
        <v>4</v>
      </c>
      <c r="C9" s="8" t="n">
        <v>5</v>
      </c>
      <c r="D9" s="4" t="s">
        <v>93</v>
      </c>
      <c r="E9" s="4" t="s">
        <v>94</v>
      </c>
      <c r="F9" s="4" t="s">
        <v>72</v>
      </c>
      <c r="G9" s="4" t="s">
        <v>95</v>
      </c>
      <c r="H9" s="4" t="s">
        <v>96</v>
      </c>
      <c r="I9" s="4" t="s">
        <v>97</v>
      </c>
      <c r="J9" s="8" t="n">
        <v>5</v>
      </c>
      <c r="K9" s="4" t="s">
        <v>28</v>
      </c>
      <c r="L9" s="4" t="s">
        <v>43</v>
      </c>
      <c r="M9" s="4" t="s">
        <v>70</v>
      </c>
      <c r="N9" s="8" t="s">
        <v>76</v>
      </c>
      <c r="O9" s="8" t="s">
        <v>77</v>
      </c>
      <c r="P9" s="8" t="s">
        <v>78</v>
      </c>
      <c r="Q9" s="4" t="s">
        <v>83</v>
      </c>
    </row>
    <row r="10" customFormat="false" ht="61.5" hidden="false" customHeight="true" outlineLevel="0" collapsed="false">
      <c r="A10" s="4" t="s">
        <v>69</v>
      </c>
      <c r="B10" s="8" t="n">
        <v>4</v>
      </c>
      <c r="C10" s="8" t="n">
        <v>5</v>
      </c>
      <c r="D10" s="4" t="s">
        <v>98</v>
      </c>
      <c r="E10" s="4" t="s">
        <v>99</v>
      </c>
      <c r="F10" s="4" t="s">
        <v>100</v>
      </c>
      <c r="G10" s="4" t="s">
        <v>101</v>
      </c>
      <c r="H10" s="4" t="s">
        <v>102</v>
      </c>
      <c r="I10" s="4" t="s">
        <v>103</v>
      </c>
      <c r="J10" s="8" t="n">
        <v>3</v>
      </c>
      <c r="K10" s="4" t="s">
        <v>36</v>
      </c>
      <c r="L10" s="4" t="s">
        <v>35</v>
      </c>
      <c r="M10" s="4" t="s">
        <v>23</v>
      </c>
      <c r="N10" s="8" t="s">
        <v>76</v>
      </c>
      <c r="O10" s="8" t="s">
        <v>77</v>
      </c>
      <c r="P10" s="8" t="s">
        <v>78</v>
      </c>
      <c r="Q10" s="4" t="s">
        <v>50</v>
      </c>
    </row>
    <row r="11" customFormat="false" ht="61.5" hidden="false" customHeight="true" outlineLevel="0" collapsed="false">
      <c r="A11" s="4" t="s">
        <v>69</v>
      </c>
      <c r="B11" s="8" t="n">
        <v>4</v>
      </c>
      <c r="C11" s="8" t="n">
        <v>5</v>
      </c>
      <c r="D11" s="4" t="s">
        <v>104</v>
      </c>
      <c r="E11" s="4" t="s">
        <v>99</v>
      </c>
      <c r="F11" s="4" t="s">
        <v>105</v>
      </c>
      <c r="G11" s="4" t="s">
        <v>106</v>
      </c>
      <c r="H11" s="4" t="s">
        <v>107</v>
      </c>
      <c r="I11" s="4" t="s">
        <v>108</v>
      </c>
      <c r="J11" s="8" t="n">
        <v>3</v>
      </c>
      <c r="K11" s="4" t="s">
        <v>12</v>
      </c>
      <c r="L11" s="4" t="s">
        <v>11</v>
      </c>
      <c r="M11" s="4" t="s">
        <v>79</v>
      </c>
      <c r="N11" s="8" t="s">
        <v>76</v>
      </c>
      <c r="O11" s="8" t="s">
        <v>77</v>
      </c>
      <c r="P11" s="8" t="s">
        <v>78</v>
      </c>
      <c r="Q11" s="4" t="s">
        <v>109</v>
      </c>
    </row>
    <row r="12" customFormat="false" ht="61.5" hidden="false" customHeight="true" outlineLevel="0" collapsed="false">
      <c r="A12" s="4" t="s">
        <v>69</v>
      </c>
      <c r="B12" s="8" t="n">
        <v>4</v>
      </c>
      <c r="C12" s="8" t="n">
        <v>5</v>
      </c>
      <c r="D12" s="4" t="s">
        <v>110</v>
      </c>
      <c r="E12" s="4" t="s">
        <v>111</v>
      </c>
      <c r="F12" s="4" t="s">
        <v>72</v>
      </c>
      <c r="G12" s="4" t="s">
        <v>112</v>
      </c>
      <c r="H12" s="4" t="s">
        <v>113</v>
      </c>
      <c r="I12" s="4" t="s">
        <v>114</v>
      </c>
      <c r="J12" s="8" t="n">
        <v>2</v>
      </c>
      <c r="K12" s="4" t="s">
        <v>36</v>
      </c>
      <c r="L12" s="4" t="s">
        <v>43</v>
      </c>
      <c r="M12" s="4" t="s">
        <v>70</v>
      </c>
      <c r="N12" s="8" t="s">
        <v>76</v>
      </c>
      <c r="O12" s="8" t="s">
        <v>77</v>
      </c>
      <c r="P12" s="8" t="s">
        <v>78</v>
      </c>
      <c r="Q12" s="4" t="s">
        <v>83</v>
      </c>
    </row>
    <row r="13" customFormat="false" ht="61.5" hidden="false" customHeight="true" outlineLevel="0" collapsed="false">
      <c r="A13" s="4" t="s">
        <v>69</v>
      </c>
      <c r="B13" s="8" t="n">
        <v>5</v>
      </c>
      <c r="C13" s="8" t="n">
        <v>6</v>
      </c>
      <c r="D13" s="4" t="s">
        <v>115</v>
      </c>
      <c r="E13" s="4" t="s">
        <v>94</v>
      </c>
      <c r="F13" s="4" t="s">
        <v>105</v>
      </c>
      <c r="G13" s="4" t="s">
        <v>116</v>
      </c>
      <c r="H13" s="4" t="s">
        <v>117</v>
      </c>
      <c r="I13" s="4" t="s">
        <v>118</v>
      </c>
      <c r="J13" s="8" t="n">
        <v>5</v>
      </c>
      <c r="K13" s="4" t="s">
        <v>36</v>
      </c>
      <c r="L13" s="4" t="s">
        <v>35</v>
      </c>
      <c r="M13" s="4" t="s">
        <v>79</v>
      </c>
      <c r="N13" s="8" t="s">
        <v>76</v>
      </c>
      <c r="O13" s="8" t="s">
        <v>77</v>
      </c>
      <c r="P13" s="8" t="s">
        <v>78</v>
      </c>
      <c r="Q13" s="4" t="s">
        <v>83</v>
      </c>
    </row>
    <row r="14" customFormat="false" ht="61.5" hidden="false" customHeight="true" outlineLevel="0" collapsed="false">
      <c r="A14" s="4" t="s">
        <v>69</v>
      </c>
      <c r="B14" s="8" t="n">
        <v>5</v>
      </c>
      <c r="C14" s="8" t="n">
        <v>6</v>
      </c>
      <c r="D14" s="4" t="s">
        <v>119</v>
      </c>
      <c r="E14" s="4" t="s">
        <v>94</v>
      </c>
      <c r="F14" s="4" t="s">
        <v>105</v>
      </c>
      <c r="G14" s="4" t="s">
        <v>120</v>
      </c>
      <c r="H14" s="4" t="s">
        <v>121</v>
      </c>
      <c r="I14" s="4" t="s">
        <v>122</v>
      </c>
      <c r="J14" s="8" t="n">
        <v>2</v>
      </c>
      <c r="K14" s="4" t="s">
        <v>36</v>
      </c>
      <c r="L14" s="4" t="s">
        <v>35</v>
      </c>
      <c r="M14" s="4" t="s">
        <v>115</v>
      </c>
      <c r="N14" s="8" t="s">
        <v>76</v>
      </c>
      <c r="O14" s="8" t="s">
        <v>77</v>
      </c>
      <c r="P14" s="8" t="s">
        <v>78</v>
      </c>
      <c r="Q14" s="4" t="s">
        <v>83</v>
      </c>
    </row>
    <row r="15" customFormat="false" ht="61.5" hidden="false" customHeight="true" outlineLevel="0" collapsed="false">
      <c r="A15" s="4" t="s">
        <v>69</v>
      </c>
      <c r="B15" s="8" t="n">
        <v>5</v>
      </c>
      <c r="C15" s="8" t="n">
        <v>6</v>
      </c>
      <c r="D15" s="4" t="s">
        <v>123</v>
      </c>
      <c r="E15" s="4" t="s">
        <v>94</v>
      </c>
      <c r="F15" s="4" t="s">
        <v>105</v>
      </c>
      <c r="G15" s="4" t="s">
        <v>124</v>
      </c>
      <c r="H15" s="4" t="s">
        <v>125</v>
      </c>
      <c r="I15" s="4" t="s">
        <v>126</v>
      </c>
      <c r="J15" s="8" t="n">
        <v>5</v>
      </c>
      <c r="K15" s="4" t="s">
        <v>12</v>
      </c>
      <c r="L15" s="4" t="s">
        <v>11</v>
      </c>
      <c r="M15" s="4" t="s">
        <v>127</v>
      </c>
      <c r="N15" s="8" t="s">
        <v>76</v>
      </c>
      <c r="O15" s="8" t="s">
        <v>77</v>
      </c>
      <c r="P15" s="8" t="s">
        <v>78</v>
      </c>
      <c r="Q15" s="4" t="s">
        <v>109</v>
      </c>
    </row>
    <row r="16" customFormat="false" ht="61.5" hidden="false" customHeight="true" outlineLevel="0" collapsed="false">
      <c r="A16" s="4" t="s">
        <v>69</v>
      </c>
      <c r="B16" s="8" t="n">
        <v>6</v>
      </c>
      <c r="C16" s="8" t="n">
        <v>6</v>
      </c>
      <c r="D16" s="4" t="s">
        <v>128</v>
      </c>
      <c r="E16" s="4" t="s">
        <v>94</v>
      </c>
      <c r="F16" s="4" t="s">
        <v>129</v>
      </c>
      <c r="G16" s="4" t="s">
        <v>130</v>
      </c>
      <c r="H16" s="4" t="s">
        <v>131</v>
      </c>
      <c r="I16" s="4" t="s">
        <v>132</v>
      </c>
      <c r="J16" s="8" t="n">
        <v>3</v>
      </c>
      <c r="K16" s="4" t="s">
        <v>12</v>
      </c>
      <c r="L16" s="4" t="s">
        <v>11</v>
      </c>
      <c r="M16" s="4" t="s">
        <v>123</v>
      </c>
      <c r="N16" s="8" t="s">
        <v>76</v>
      </c>
      <c r="O16" s="8" t="s">
        <v>77</v>
      </c>
      <c r="P16" s="8" t="s">
        <v>78</v>
      </c>
      <c r="Q16" s="4" t="s">
        <v>133</v>
      </c>
    </row>
    <row r="17" customFormat="false" ht="61.5" hidden="false" customHeight="true" outlineLevel="0" collapsed="false">
      <c r="A17" s="4" t="s">
        <v>69</v>
      </c>
      <c r="B17" s="8" t="n">
        <v>6</v>
      </c>
      <c r="C17" s="8" t="n">
        <v>7</v>
      </c>
      <c r="D17" s="4" t="s">
        <v>134</v>
      </c>
      <c r="E17" s="4" t="s">
        <v>94</v>
      </c>
      <c r="F17" s="4" t="s">
        <v>129</v>
      </c>
      <c r="G17" s="4" t="s">
        <v>135</v>
      </c>
      <c r="H17" s="4" t="s">
        <v>136</v>
      </c>
      <c r="I17" s="4" t="s">
        <v>137</v>
      </c>
      <c r="J17" s="8" t="n">
        <v>5</v>
      </c>
      <c r="K17" s="4" t="s">
        <v>12</v>
      </c>
      <c r="L17" s="4" t="s">
        <v>11</v>
      </c>
      <c r="M17" s="4" t="s">
        <v>138</v>
      </c>
      <c r="N17" s="8" t="s">
        <v>76</v>
      </c>
      <c r="O17" s="8" t="s">
        <v>77</v>
      </c>
      <c r="P17" s="8" t="s">
        <v>78</v>
      </c>
      <c r="Q17" s="4" t="s">
        <v>83</v>
      </c>
    </row>
    <row r="18" customFormat="false" ht="61.5" hidden="false" customHeight="true" outlineLevel="0" collapsed="false">
      <c r="A18" s="4" t="s">
        <v>69</v>
      </c>
      <c r="B18" s="8" t="n">
        <v>6</v>
      </c>
      <c r="C18" s="8" t="n">
        <v>7</v>
      </c>
      <c r="D18" s="4" t="s">
        <v>139</v>
      </c>
      <c r="E18" s="4" t="s">
        <v>94</v>
      </c>
      <c r="F18" s="4" t="s">
        <v>129</v>
      </c>
      <c r="G18" s="4" t="s">
        <v>140</v>
      </c>
      <c r="H18" s="4" t="s">
        <v>141</v>
      </c>
      <c r="I18" s="4" t="s">
        <v>142</v>
      </c>
      <c r="J18" s="8" t="n">
        <v>5</v>
      </c>
      <c r="K18" s="4" t="s">
        <v>12</v>
      </c>
      <c r="L18" s="4" t="s">
        <v>11</v>
      </c>
      <c r="M18" s="4" t="s">
        <v>134</v>
      </c>
      <c r="N18" s="8" t="s">
        <v>76</v>
      </c>
      <c r="O18" s="8" t="s">
        <v>77</v>
      </c>
      <c r="P18" s="8" t="s">
        <v>78</v>
      </c>
      <c r="Q18" s="4" t="s">
        <v>143</v>
      </c>
    </row>
    <row r="19" customFormat="false" ht="61.5" hidden="false" customHeight="true" outlineLevel="0" collapsed="false">
      <c r="A19" s="4" t="s">
        <v>69</v>
      </c>
      <c r="B19" s="8" t="n">
        <v>6</v>
      </c>
      <c r="C19" s="8" t="n">
        <v>7</v>
      </c>
      <c r="D19" s="4" t="s">
        <v>144</v>
      </c>
      <c r="E19" s="4" t="s">
        <v>94</v>
      </c>
      <c r="F19" s="4" t="s">
        <v>145</v>
      </c>
      <c r="G19" s="4" t="s">
        <v>146</v>
      </c>
      <c r="H19" s="4" t="s">
        <v>147</v>
      </c>
      <c r="I19" s="4" t="s">
        <v>148</v>
      </c>
      <c r="J19" s="8" t="n">
        <v>5</v>
      </c>
      <c r="K19" s="4" t="s">
        <v>28</v>
      </c>
      <c r="L19" s="4" t="s">
        <v>27</v>
      </c>
      <c r="M19" s="4" t="s">
        <v>134</v>
      </c>
      <c r="N19" s="8" t="s">
        <v>76</v>
      </c>
      <c r="O19" s="8" t="s">
        <v>77</v>
      </c>
      <c r="P19" s="8" t="s">
        <v>78</v>
      </c>
      <c r="Q19" s="4" t="s">
        <v>83</v>
      </c>
    </row>
    <row r="20" customFormat="false" ht="61.5" hidden="false" customHeight="true" outlineLevel="0" collapsed="false">
      <c r="A20" s="4" t="s">
        <v>69</v>
      </c>
      <c r="B20" s="8" t="n">
        <v>6</v>
      </c>
      <c r="C20" s="8" t="n">
        <v>7</v>
      </c>
      <c r="D20" s="4" t="s">
        <v>149</v>
      </c>
      <c r="E20" s="4" t="s">
        <v>94</v>
      </c>
      <c r="F20" s="4" t="s">
        <v>145</v>
      </c>
      <c r="G20" s="4" t="s">
        <v>150</v>
      </c>
      <c r="H20" s="4" t="s">
        <v>151</v>
      </c>
      <c r="I20" s="4" t="s">
        <v>152</v>
      </c>
      <c r="J20" s="8" t="n">
        <v>5</v>
      </c>
      <c r="K20" s="4" t="s">
        <v>28</v>
      </c>
      <c r="L20" s="4" t="s">
        <v>27</v>
      </c>
      <c r="M20" s="4" t="s">
        <v>144</v>
      </c>
      <c r="N20" s="8" t="s">
        <v>76</v>
      </c>
      <c r="O20" s="8" t="s">
        <v>77</v>
      </c>
      <c r="P20" s="8" t="s">
        <v>78</v>
      </c>
      <c r="Q20" s="4" t="s">
        <v>153</v>
      </c>
    </row>
    <row r="21" customFormat="false" ht="61.5" hidden="false" customHeight="true" outlineLevel="0" collapsed="false">
      <c r="A21" s="4" t="s">
        <v>69</v>
      </c>
      <c r="B21" s="8" t="n">
        <v>6</v>
      </c>
      <c r="C21" s="8" t="n">
        <v>7</v>
      </c>
      <c r="D21" s="4" t="s">
        <v>154</v>
      </c>
      <c r="E21" s="4" t="s">
        <v>94</v>
      </c>
      <c r="F21" s="4" t="s">
        <v>155</v>
      </c>
      <c r="G21" s="4" t="s">
        <v>156</v>
      </c>
      <c r="H21" s="4" t="s">
        <v>157</v>
      </c>
      <c r="I21" s="4" t="s">
        <v>158</v>
      </c>
      <c r="J21" s="8" t="n">
        <v>5</v>
      </c>
      <c r="K21" s="4" t="s">
        <v>28</v>
      </c>
      <c r="L21" s="4" t="s">
        <v>27</v>
      </c>
      <c r="M21" s="4" t="s">
        <v>159</v>
      </c>
      <c r="N21" s="8" t="s">
        <v>76</v>
      </c>
      <c r="O21" s="8" t="s">
        <v>77</v>
      </c>
      <c r="P21" s="8" t="s">
        <v>78</v>
      </c>
      <c r="Q21" s="4" t="s">
        <v>160</v>
      </c>
    </row>
    <row r="22" customFormat="false" ht="61.5" hidden="false" customHeight="true" outlineLevel="0" collapsed="false">
      <c r="A22" s="4" t="s">
        <v>69</v>
      </c>
      <c r="B22" s="8" t="n">
        <v>7</v>
      </c>
      <c r="C22" s="8" t="n">
        <v>7</v>
      </c>
      <c r="D22" s="4" t="s">
        <v>161</v>
      </c>
      <c r="E22" s="4" t="s">
        <v>162</v>
      </c>
      <c r="F22" s="4" t="s">
        <v>89</v>
      </c>
      <c r="G22" s="4" t="s">
        <v>163</v>
      </c>
      <c r="H22" s="4" t="s">
        <v>164</v>
      </c>
      <c r="I22" s="4" t="s">
        <v>165</v>
      </c>
      <c r="J22" s="8" t="n">
        <v>2</v>
      </c>
      <c r="K22" s="4" t="s">
        <v>44</v>
      </c>
      <c r="L22" s="4" t="s">
        <v>43</v>
      </c>
      <c r="M22" s="4" t="s">
        <v>166</v>
      </c>
      <c r="N22" s="8" t="s">
        <v>76</v>
      </c>
      <c r="O22" s="8" t="s">
        <v>77</v>
      </c>
      <c r="P22" s="8" t="s">
        <v>78</v>
      </c>
      <c r="Q22" s="4" t="s">
        <v>50</v>
      </c>
    </row>
    <row r="23" customFormat="false" ht="61.5" hidden="false" customHeight="true" outlineLevel="0" collapsed="false">
      <c r="A23" s="4" t="s">
        <v>167</v>
      </c>
      <c r="B23" s="8" t="n">
        <v>8</v>
      </c>
      <c r="C23" s="8" t="n">
        <v>8</v>
      </c>
      <c r="D23" s="4" t="s">
        <v>168</v>
      </c>
      <c r="E23" s="4" t="s">
        <v>169</v>
      </c>
      <c r="F23" s="4" t="s">
        <v>170</v>
      </c>
      <c r="G23" s="4" t="s">
        <v>171</v>
      </c>
      <c r="H23" s="4" t="s">
        <v>172</v>
      </c>
      <c r="I23" s="4" t="s">
        <v>173</v>
      </c>
      <c r="J23" s="8" t="n">
        <v>3</v>
      </c>
      <c r="K23" s="4" t="s">
        <v>44</v>
      </c>
      <c r="L23" s="4" t="s">
        <v>43</v>
      </c>
      <c r="M23" s="4" t="s">
        <v>161</v>
      </c>
      <c r="N23" s="8" t="s">
        <v>76</v>
      </c>
      <c r="O23" s="8" t="s">
        <v>23</v>
      </c>
      <c r="P23" s="8" t="s">
        <v>78</v>
      </c>
      <c r="Q23" s="4" t="s">
        <v>83</v>
      </c>
    </row>
    <row r="24" customFormat="false" ht="61.5" hidden="false" customHeight="true" outlineLevel="0" collapsed="false">
      <c r="A24" s="4" t="s">
        <v>167</v>
      </c>
      <c r="B24" s="8" t="n">
        <v>8</v>
      </c>
      <c r="C24" s="8" t="n">
        <v>8</v>
      </c>
      <c r="D24" s="4" t="s">
        <v>174</v>
      </c>
      <c r="E24" s="4" t="s">
        <v>71</v>
      </c>
      <c r="F24" s="4" t="s">
        <v>89</v>
      </c>
      <c r="G24" s="4" t="s">
        <v>175</v>
      </c>
      <c r="H24" s="4" t="s">
        <v>176</v>
      </c>
      <c r="I24" s="4" t="s">
        <v>177</v>
      </c>
      <c r="J24" s="8" t="n">
        <v>3</v>
      </c>
      <c r="K24" s="4" t="s">
        <v>12</v>
      </c>
      <c r="L24" s="4" t="s">
        <v>11</v>
      </c>
      <c r="M24" s="4" t="s">
        <v>128</v>
      </c>
      <c r="N24" s="8" t="s">
        <v>76</v>
      </c>
      <c r="O24" s="8" t="s">
        <v>23</v>
      </c>
      <c r="P24" s="8" t="s">
        <v>78</v>
      </c>
      <c r="Q24" s="4" t="s">
        <v>178</v>
      </c>
    </row>
    <row r="25" customFormat="false" ht="61.5" hidden="false" customHeight="true" outlineLevel="0" collapsed="false">
      <c r="A25" s="4" t="s">
        <v>167</v>
      </c>
      <c r="B25" s="8" t="n">
        <v>8</v>
      </c>
      <c r="C25" s="8" t="n">
        <v>8</v>
      </c>
      <c r="D25" s="4" t="s">
        <v>179</v>
      </c>
      <c r="E25" s="4" t="s">
        <v>71</v>
      </c>
      <c r="F25" s="4" t="s">
        <v>155</v>
      </c>
      <c r="G25" s="4" t="s">
        <v>180</v>
      </c>
      <c r="H25" s="4" t="s">
        <v>181</v>
      </c>
      <c r="I25" s="4" t="s">
        <v>182</v>
      </c>
      <c r="J25" s="8" t="n">
        <v>2</v>
      </c>
      <c r="K25" s="4" t="s">
        <v>28</v>
      </c>
      <c r="L25" s="4" t="s">
        <v>27</v>
      </c>
      <c r="M25" s="4" t="s">
        <v>154</v>
      </c>
      <c r="N25" s="8" t="s">
        <v>76</v>
      </c>
      <c r="O25" s="8" t="s">
        <v>23</v>
      </c>
      <c r="P25" s="8" t="s">
        <v>78</v>
      </c>
      <c r="Q25" s="4" t="s">
        <v>83</v>
      </c>
    </row>
    <row r="26" customFormat="false" ht="61.5" hidden="false" customHeight="true" outlineLevel="0" collapsed="false">
      <c r="A26" s="4" t="s">
        <v>167</v>
      </c>
      <c r="B26" s="8" t="n">
        <v>8</v>
      </c>
      <c r="C26" s="8" t="n">
        <v>9</v>
      </c>
      <c r="D26" s="4" t="s">
        <v>183</v>
      </c>
      <c r="E26" s="4" t="s">
        <v>94</v>
      </c>
      <c r="F26" s="4" t="s">
        <v>184</v>
      </c>
      <c r="G26" s="4" t="s">
        <v>185</v>
      </c>
      <c r="H26" s="4" t="s">
        <v>186</v>
      </c>
      <c r="I26" s="4" t="s">
        <v>187</v>
      </c>
      <c r="J26" s="8" t="n">
        <v>5</v>
      </c>
      <c r="K26" s="4" t="s">
        <v>20</v>
      </c>
      <c r="L26" s="4" t="s">
        <v>19</v>
      </c>
      <c r="M26" s="4" t="s">
        <v>134</v>
      </c>
      <c r="N26" s="8" t="s">
        <v>76</v>
      </c>
      <c r="O26" s="8" t="s">
        <v>23</v>
      </c>
      <c r="P26" s="8" t="s">
        <v>78</v>
      </c>
      <c r="Q26" s="4" t="s">
        <v>188</v>
      </c>
    </row>
    <row r="27" customFormat="false" ht="61.5" hidden="false" customHeight="true" outlineLevel="0" collapsed="false">
      <c r="A27" s="4" t="s">
        <v>167</v>
      </c>
      <c r="B27" s="8" t="n">
        <v>8</v>
      </c>
      <c r="C27" s="8" t="n">
        <v>9</v>
      </c>
      <c r="D27" s="4" t="s">
        <v>189</v>
      </c>
      <c r="E27" s="4" t="s">
        <v>94</v>
      </c>
      <c r="F27" s="4" t="s">
        <v>184</v>
      </c>
      <c r="G27" s="4" t="s">
        <v>190</v>
      </c>
      <c r="H27" s="4" t="s">
        <v>191</v>
      </c>
      <c r="I27" s="4" t="s">
        <v>192</v>
      </c>
      <c r="J27" s="8" t="n">
        <v>5</v>
      </c>
      <c r="K27" s="4" t="s">
        <v>20</v>
      </c>
      <c r="L27" s="4" t="s">
        <v>19</v>
      </c>
      <c r="M27" s="4" t="s">
        <v>134</v>
      </c>
      <c r="N27" s="8" t="s">
        <v>193</v>
      </c>
      <c r="O27" s="8" t="s">
        <v>23</v>
      </c>
      <c r="P27" s="8" t="s">
        <v>78</v>
      </c>
      <c r="Q27" s="4" t="s">
        <v>188</v>
      </c>
    </row>
    <row r="28" customFormat="false" ht="61.5" hidden="false" customHeight="true" outlineLevel="0" collapsed="false">
      <c r="A28" s="4" t="s">
        <v>167</v>
      </c>
      <c r="B28" s="8" t="n">
        <v>8</v>
      </c>
      <c r="C28" s="8" t="n">
        <v>9</v>
      </c>
      <c r="D28" s="4" t="s">
        <v>194</v>
      </c>
      <c r="E28" s="4" t="s">
        <v>94</v>
      </c>
      <c r="F28" s="4" t="s">
        <v>184</v>
      </c>
      <c r="G28" s="4" t="s">
        <v>195</v>
      </c>
      <c r="H28" s="4" t="s">
        <v>196</v>
      </c>
      <c r="I28" s="4" t="s">
        <v>197</v>
      </c>
      <c r="J28" s="8" t="n">
        <v>5</v>
      </c>
      <c r="K28" s="4" t="s">
        <v>12</v>
      </c>
      <c r="L28" s="4" t="s">
        <v>19</v>
      </c>
      <c r="M28" s="4" t="s">
        <v>134</v>
      </c>
      <c r="N28" s="8" t="s">
        <v>193</v>
      </c>
      <c r="O28" s="8" t="s">
        <v>23</v>
      </c>
      <c r="P28" s="8" t="s">
        <v>78</v>
      </c>
      <c r="Q28" s="4" t="s">
        <v>188</v>
      </c>
    </row>
    <row r="29" customFormat="false" ht="61.5" hidden="false" customHeight="true" outlineLevel="0" collapsed="false">
      <c r="A29" s="4" t="s">
        <v>167</v>
      </c>
      <c r="B29" s="8" t="n">
        <v>8</v>
      </c>
      <c r="C29" s="8" t="n">
        <v>9</v>
      </c>
      <c r="D29" s="4" t="s">
        <v>198</v>
      </c>
      <c r="E29" s="4" t="s">
        <v>94</v>
      </c>
      <c r="F29" s="4" t="s">
        <v>170</v>
      </c>
      <c r="G29" s="4" t="s">
        <v>199</v>
      </c>
      <c r="H29" s="4" t="s">
        <v>200</v>
      </c>
      <c r="I29" s="4" t="s">
        <v>201</v>
      </c>
      <c r="J29" s="8" t="n">
        <v>5</v>
      </c>
      <c r="K29" s="4" t="s">
        <v>20</v>
      </c>
      <c r="L29" s="4" t="s">
        <v>19</v>
      </c>
      <c r="M29" s="4" t="s">
        <v>202</v>
      </c>
      <c r="N29" s="8" t="s">
        <v>76</v>
      </c>
      <c r="O29" s="8" t="s">
        <v>23</v>
      </c>
      <c r="P29" s="8" t="s">
        <v>78</v>
      </c>
      <c r="Q29" s="4" t="s">
        <v>203</v>
      </c>
    </row>
    <row r="30" customFormat="false" ht="61.5" hidden="false" customHeight="true" outlineLevel="0" collapsed="false">
      <c r="A30" s="4" t="s">
        <v>167</v>
      </c>
      <c r="B30" s="8" t="n">
        <v>9</v>
      </c>
      <c r="C30" s="8" t="n">
        <v>9</v>
      </c>
      <c r="D30" s="4" t="s">
        <v>204</v>
      </c>
      <c r="E30" s="4" t="s">
        <v>94</v>
      </c>
      <c r="F30" s="4" t="s">
        <v>145</v>
      </c>
      <c r="G30" s="4" t="s">
        <v>205</v>
      </c>
      <c r="H30" s="4" t="s">
        <v>206</v>
      </c>
      <c r="I30" s="4" t="s">
        <v>207</v>
      </c>
      <c r="J30" s="8" t="n">
        <v>3</v>
      </c>
      <c r="K30" s="4" t="s">
        <v>28</v>
      </c>
      <c r="L30" s="4" t="s">
        <v>27</v>
      </c>
      <c r="M30" s="4" t="s">
        <v>149</v>
      </c>
      <c r="N30" s="8" t="s">
        <v>76</v>
      </c>
      <c r="O30" s="8" t="s">
        <v>23</v>
      </c>
      <c r="P30" s="8" t="s">
        <v>78</v>
      </c>
      <c r="Q30" s="4" t="s">
        <v>83</v>
      </c>
    </row>
    <row r="31" customFormat="false" ht="61.5" hidden="false" customHeight="true" outlineLevel="0" collapsed="false">
      <c r="A31" s="4" t="s">
        <v>167</v>
      </c>
      <c r="B31" s="8" t="n">
        <v>9</v>
      </c>
      <c r="C31" s="8" t="n">
        <v>10</v>
      </c>
      <c r="D31" s="4" t="s">
        <v>208</v>
      </c>
      <c r="E31" s="4" t="s">
        <v>94</v>
      </c>
      <c r="F31" s="4" t="s">
        <v>170</v>
      </c>
      <c r="G31" s="4" t="s">
        <v>209</v>
      </c>
      <c r="H31" s="4" t="s">
        <v>210</v>
      </c>
      <c r="I31" s="4" t="s">
        <v>211</v>
      </c>
      <c r="J31" s="8" t="n">
        <v>5</v>
      </c>
      <c r="K31" s="4" t="s">
        <v>12</v>
      </c>
      <c r="L31" s="4" t="s">
        <v>11</v>
      </c>
      <c r="M31" s="4" t="s">
        <v>198</v>
      </c>
      <c r="N31" s="8" t="s">
        <v>76</v>
      </c>
      <c r="O31" s="8" t="s">
        <v>23</v>
      </c>
      <c r="P31" s="8" t="s">
        <v>78</v>
      </c>
      <c r="Q31" s="4" t="s">
        <v>83</v>
      </c>
    </row>
    <row r="32" customFormat="false" ht="61.5" hidden="false" customHeight="true" outlineLevel="0" collapsed="false">
      <c r="A32" s="4" t="s">
        <v>167</v>
      </c>
      <c r="B32" s="8" t="n">
        <v>9</v>
      </c>
      <c r="C32" s="8" t="n">
        <v>10</v>
      </c>
      <c r="D32" s="4" t="s">
        <v>212</v>
      </c>
      <c r="E32" s="4" t="s">
        <v>94</v>
      </c>
      <c r="F32" s="4" t="s">
        <v>184</v>
      </c>
      <c r="G32" s="4" t="s">
        <v>213</v>
      </c>
      <c r="H32" s="4" t="s">
        <v>214</v>
      </c>
      <c r="I32" s="4" t="s">
        <v>215</v>
      </c>
      <c r="J32" s="8" t="n">
        <v>3</v>
      </c>
      <c r="K32" s="4" t="s">
        <v>36</v>
      </c>
      <c r="L32" s="4" t="s">
        <v>19</v>
      </c>
      <c r="M32" s="4" t="s">
        <v>198</v>
      </c>
      <c r="N32" s="8" t="s">
        <v>216</v>
      </c>
      <c r="O32" s="8" t="s">
        <v>23</v>
      </c>
      <c r="P32" s="8" t="s">
        <v>78</v>
      </c>
      <c r="Q32" s="4" t="s">
        <v>188</v>
      </c>
    </row>
    <row r="33" customFormat="false" ht="61.5" hidden="false" customHeight="true" outlineLevel="0" collapsed="false">
      <c r="A33" s="4" t="s">
        <v>167</v>
      </c>
      <c r="B33" s="8" t="n">
        <v>9</v>
      </c>
      <c r="C33" s="8" t="n">
        <v>10</v>
      </c>
      <c r="D33" s="4" t="s">
        <v>217</v>
      </c>
      <c r="E33" s="4" t="s">
        <v>94</v>
      </c>
      <c r="F33" s="4" t="s">
        <v>100</v>
      </c>
      <c r="G33" s="4" t="s">
        <v>218</v>
      </c>
      <c r="H33" s="4" t="s">
        <v>219</v>
      </c>
      <c r="I33" s="4" t="s">
        <v>220</v>
      </c>
      <c r="J33" s="8" t="n">
        <v>5</v>
      </c>
      <c r="K33" s="4" t="s">
        <v>36</v>
      </c>
      <c r="L33" s="4" t="s">
        <v>35</v>
      </c>
      <c r="M33" s="4" t="s">
        <v>221</v>
      </c>
      <c r="N33" s="8" t="s">
        <v>76</v>
      </c>
      <c r="O33" s="8" t="s">
        <v>23</v>
      </c>
      <c r="P33" s="8" t="s">
        <v>78</v>
      </c>
      <c r="Q33" s="4" t="s">
        <v>222</v>
      </c>
    </row>
    <row r="34" customFormat="false" ht="61.5" hidden="false" customHeight="true" outlineLevel="0" collapsed="false">
      <c r="A34" s="4" t="s">
        <v>167</v>
      </c>
      <c r="B34" s="8" t="n">
        <v>10</v>
      </c>
      <c r="C34" s="8" t="n">
        <v>10</v>
      </c>
      <c r="D34" s="4" t="s">
        <v>223</v>
      </c>
      <c r="E34" s="4" t="s">
        <v>94</v>
      </c>
      <c r="F34" s="4" t="s">
        <v>100</v>
      </c>
      <c r="G34" s="4" t="s">
        <v>224</v>
      </c>
      <c r="H34" s="4" t="s">
        <v>225</v>
      </c>
      <c r="I34" s="4" t="s">
        <v>226</v>
      </c>
      <c r="J34" s="8" t="n">
        <v>3</v>
      </c>
      <c r="K34" s="4" t="s">
        <v>36</v>
      </c>
      <c r="L34" s="4" t="s">
        <v>35</v>
      </c>
      <c r="M34" s="4" t="s">
        <v>217</v>
      </c>
      <c r="N34" s="8" t="s">
        <v>76</v>
      </c>
      <c r="O34" s="8" t="s">
        <v>23</v>
      </c>
      <c r="P34" s="8" t="s">
        <v>78</v>
      </c>
      <c r="Q34" s="4" t="s">
        <v>222</v>
      </c>
    </row>
    <row r="35" customFormat="false" ht="61.5" hidden="false" customHeight="true" outlineLevel="0" collapsed="false">
      <c r="A35" s="4" t="s">
        <v>167</v>
      </c>
      <c r="B35" s="8" t="n">
        <v>10</v>
      </c>
      <c r="C35" s="8" t="n">
        <v>11</v>
      </c>
      <c r="D35" s="4" t="s">
        <v>227</v>
      </c>
      <c r="E35" s="4" t="s">
        <v>94</v>
      </c>
      <c r="F35" s="4" t="s">
        <v>89</v>
      </c>
      <c r="G35" s="4" t="s">
        <v>228</v>
      </c>
      <c r="H35" s="4" t="s">
        <v>229</v>
      </c>
      <c r="I35" s="4" t="s">
        <v>230</v>
      </c>
      <c r="J35" s="8" t="n">
        <v>5</v>
      </c>
      <c r="K35" s="4" t="s">
        <v>28</v>
      </c>
      <c r="L35" s="4" t="s">
        <v>27</v>
      </c>
      <c r="M35" s="4" t="s">
        <v>179</v>
      </c>
      <c r="N35" s="8" t="s">
        <v>76</v>
      </c>
      <c r="O35" s="8" t="s">
        <v>23</v>
      </c>
      <c r="P35" s="8" t="s">
        <v>78</v>
      </c>
      <c r="Q35" s="4" t="s">
        <v>231</v>
      </c>
    </row>
    <row r="36" customFormat="false" ht="61.5" hidden="false" customHeight="true" outlineLevel="0" collapsed="false">
      <c r="A36" s="4" t="s">
        <v>167</v>
      </c>
      <c r="B36" s="8" t="n">
        <v>10</v>
      </c>
      <c r="C36" s="8" t="n">
        <v>11</v>
      </c>
      <c r="D36" s="4" t="s">
        <v>232</v>
      </c>
      <c r="E36" s="4" t="s">
        <v>94</v>
      </c>
      <c r="F36" s="4" t="s">
        <v>89</v>
      </c>
      <c r="G36" s="4" t="s">
        <v>233</v>
      </c>
      <c r="H36" s="4" t="s">
        <v>234</v>
      </c>
      <c r="I36" s="4" t="s">
        <v>235</v>
      </c>
      <c r="J36" s="8" t="n">
        <v>5</v>
      </c>
      <c r="K36" s="4" t="s">
        <v>28</v>
      </c>
      <c r="L36" s="4" t="s">
        <v>43</v>
      </c>
      <c r="M36" s="4" t="s">
        <v>227</v>
      </c>
      <c r="N36" s="8" t="s">
        <v>193</v>
      </c>
      <c r="O36" s="8" t="s">
        <v>23</v>
      </c>
      <c r="P36" s="8" t="s">
        <v>78</v>
      </c>
      <c r="Q36" s="4" t="s">
        <v>50</v>
      </c>
    </row>
    <row r="37" customFormat="false" ht="61.5" hidden="false" customHeight="true" outlineLevel="0" collapsed="false">
      <c r="A37" s="4" t="s">
        <v>167</v>
      </c>
      <c r="B37" s="8" t="n">
        <v>10</v>
      </c>
      <c r="C37" s="8" t="n">
        <v>11</v>
      </c>
      <c r="D37" s="4" t="s">
        <v>236</v>
      </c>
      <c r="E37" s="4" t="s">
        <v>237</v>
      </c>
      <c r="F37" s="4" t="s">
        <v>72</v>
      </c>
      <c r="G37" s="4" t="s">
        <v>238</v>
      </c>
      <c r="H37" s="4" t="s">
        <v>239</v>
      </c>
      <c r="I37" s="4" t="s">
        <v>240</v>
      </c>
      <c r="J37" s="8" t="n">
        <v>2</v>
      </c>
      <c r="K37" s="4" t="s">
        <v>36</v>
      </c>
      <c r="L37" s="4" t="s">
        <v>43</v>
      </c>
      <c r="M37" s="4" t="s">
        <v>110</v>
      </c>
      <c r="N37" s="8" t="s">
        <v>193</v>
      </c>
      <c r="O37" s="8" t="s">
        <v>23</v>
      </c>
      <c r="P37" s="8" t="s">
        <v>78</v>
      </c>
      <c r="Q37" s="4" t="s">
        <v>50</v>
      </c>
    </row>
    <row r="38" customFormat="false" ht="61.5" hidden="false" customHeight="true" outlineLevel="0" collapsed="false">
      <c r="A38" s="4" t="s">
        <v>167</v>
      </c>
      <c r="B38" s="8" t="n">
        <v>10</v>
      </c>
      <c r="C38" s="8" t="n">
        <v>11</v>
      </c>
      <c r="D38" s="4" t="s">
        <v>241</v>
      </c>
      <c r="E38" s="4" t="s">
        <v>237</v>
      </c>
      <c r="F38" s="4" t="s">
        <v>72</v>
      </c>
      <c r="G38" s="4" t="s">
        <v>242</v>
      </c>
      <c r="H38" s="4" t="s">
        <v>243</v>
      </c>
      <c r="I38" s="4" t="s">
        <v>244</v>
      </c>
      <c r="J38" s="8" t="n">
        <v>3</v>
      </c>
      <c r="K38" s="4" t="s">
        <v>36</v>
      </c>
      <c r="L38" s="4" t="s">
        <v>43</v>
      </c>
      <c r="M38" s="4" t="s">
        <v>110</v>
      </c>
      <c r="N38" s="8" t="s">
        <v>76</v>
      </c>
      <c r="O38" s="8" t="s">
        <v>23</v>
      </c>
      <c r="P38" s="8" t="s">
        <v>78</v>
      </c>
      <c r="Q38" s="4" t="s">
        <v>245</v>
      </c>
    </row>
    <row r="39" customFormat="false" ht="61.5" hidden="false" customHeight="true" outlineLevel="0" collapsed="false">
      <c r="A39" s="4" t="s">
        <v>167</v>
      </c>
      <c r="B39" s="8" t="n">
        <v>10</v>
      </c>
      <c r="C39" s="8" t="n">
        <v>11</v>
      </c>
      <c r="D39" s="4" t="s">
        <v>246</v>
      </c>
      <c r="E39" s="4" t="s">
        <v>111</v>
      </c>
      <c r="F39" s="4" t="s">
        <v>100</v>
      </c>
      <c r="G39" s="4" t="s">
        <v>247</v>
      </c>
      <c r="H39" s="4" t="s">
        <v>248</v>
      </c>
      <c r="I39" s="4" t="s">
        <v>249</v>
      </c>
      <c r="J39" s="8" t="n">
        <v>3</v>
      </c>
      <c r="K39" s="4" t="s">
        <v>36</v>
      </c>
      <c r="L39" s="4" t="s">
        <v>35</v>
      </c>
      <c r="M39" s="4" t="s">
        <v>223</v>
      </c>
      <c r="N39" s="8" t="s">
        <v>76</v>
      </c>
      <c r="O39" s="8" t="s">
        <v>23</v>
      </c>
      <c r="P39" s="8" t="s">
        <v>78</v>
      </c>
      <c r="Q39" s="4" t="s">
        <v>83</v>
      </c>
    </row>
    <row r="40" customFormat="false" ht="61.5" hidden="false" customHeight="true" outlineLevel="0" collapsed="false">
      <c r="A40" s="4" t="s">
        <v>167</v>
      </c>
      <c r="B40" s="8" t="n">
        <v>11</v>
      </c>
      <c r="C40" s="8" t="n">
        <v>11</v>
      </c>
      <c r="D40" s="4" t="s">
        <v>250</v>
      </c>
      <c r="E40" s="4" t="s">
        <v>162</v>
      </c>
      <c r="F40" s="4" t="s">
        <v>89</v>
      </c>
      <c r="G40" s="4" t="s">
        <v>251</v>
      </c>
      <c r="H40" s="4" t="s">
        <v>252</v>
      </c>
      <c r="I40" s="4" t="s">
        <v>253</v>
      </c>
      <c r="J40" s="8" t="n">
        <v>3</v>
      </c>
      <c r="K40" s="4" t="s">
        <v>44</v>
      </c>
      <c r="L40" s="4" t="s">
        <v>43</v>
      </c>
      <c r="M40" s="4" t="s">
        <v>254</v>
      </c>
      <c r="N40" s="8" t="s">
        <v>76</v>
      </c>
      <c r="O40" s="8" t="s">
        <v>23</v>
      </c>
      <c r="P40" s="8" t="s">
        <v>78</v>
      </c>
      <c r="Q40" s="4" t="s">
        <v>50</v>
      </c>
    </row>
    <row r="41" customFormat="false" ht="61.5" hidden="false" customHeight="true" outlineLevel="0" collapsed="false">
      <c r="A41" s="4" t="s">
        <v>167</v>
      </c>
      <c r="B41" s="8" t="n">
        <v>11</v>
      </c>
      <c r="C41" s="8" t="n">
        <v>11</v>
      </c>
      <c r="D41" s="4" t="s">
        <v>255</v>
      </c>
      <c r="E41" s="4" t="s">
        <v>237</v>
      </c>
      <c r="F41" s="4" t="s">
        <v>129</v>
      </c>
      <c r="G41" s="4" t="s">
        <v>256</v>
      </c>
      <c r="H41" s="4" t="s">
        <v>257</v>
      </c>
      <c r="I41" s="4" t="s">
        <v>258</v>
      </c>
      <c r="J41" s="8" t="n">
        <v>2</v>
      </c>
      <c r="K41" s="4" t="s">
        <v>36</v>
      </c>
      <c r="L41" s="4" t="s">
        <v>43</v>
      </c>
      <c r="M41" s="4" t="s">
        <v>208</v>
      </c>
      <c r="N41" s="8" t="s">
        <v>193</v>
      </c>
      <c r="O41" s="8" t="s">
        <v>23</v>
      </c>
      <c r="P41" s="8" t="s">
        <v>78</v>
      </c>
      <c r="Q41" s="4" t="s">
        <v>50</v>
      </c>
    </row>
    <row r="42" customFormat="false" ht="61.5" hidden="false" customHeight="true" outlineLevel="0" collapsed="false">
      <c r="A42" s="4" t="s">
        <v>259</v>
      </c>
      <c r="B42" s="8" t="n">
        <v>12</v>
      </c>
      <c r="C42" s="8" t="n">
        <v>13</v>
      </c>
      <c r="D42" s="4" t="s">
        <v>260</v>
      </c>
      <c r="E42" s="4" t="s">
        <v>162</v>
      </c>
      <c r="F42" s="4" t="s">
        <v>261</v>
      </c>
      <c r="G42" s="4" t="s">
        <v>262</v>
      </c>
      <c r="H42" s="4" t="s">
        <v>263</v>
      </c>
      <c r="I42" s="4" t="s">
        <v>264</v>
      </c>
      <c r="J42" s="8" t="n">
        <v>5</v>
      </c>
      <c r="K42" s="4" t="s">
        <v>44</v>
      </c>
      <c r="L42" s="4" t="s">
        <v>43</v>
      </c>
      <c r="M42" s="4" t="s">
        <v>250</v>
      </c>
      <c r="N42" s="8" t="s">
        <v>76</v>
      </c>
      <c r="O42" s="8" t="s">
        <v>23</v>
      </c>
      <c r="P42" s="8" t="s">
        <v>78</v>
      </c>
      <c r="Q42" s="4" t="s">
        <v>50</v>
      </c>
    </row>
    <row r="43" customFormat="false" ht="61.5" hidden="false" customHeight="true" outlineLevel="0" collapsed="false">
      <c r="A43" s="4" t="s">
        <v>259</v>
      </c>
      <c r="B43" s="8" t="n">
        <v>12</v>
      </c>
      <c r="C43" s="8" t="n">
        <v>13</v>
      </c>
      <c r="D43" s="4" t="s">
        <v>265</v>
      </c>
      <c r="E43" s="4" t="s">
        <v>162</v>
      </c>
      <c r="F43" s="4" t="s">
        <v>261</v>
      </c>
      <c r="G43" s="4" t="s">
        <v>266</v>
      </c>
      <c r="H43" s="4" t="s">
        <v>267</v>
      </c>
      <c r="I43" s="4" t="s">
        <v>268</v>
      </c>
      <c r="J43" s="8" t="n">
        <v>3</v>
      </c>
      <c r="K43" s="4" t="s">
        <v>12</v>
      </c>
      <c r="L43" s="4" t="s">
        <v>43</v>
      </c>
      <c r="M43" s="4" t="s">
        <v>260</v>
      </c>
      <c r="N43" s="8" t="s">
        <v>76</v>
      </c>
      <c r="O43" s="8" t="s">
        <v>23</v>
      </c>
      <c r="P43" s="8" t="s">
        <v>78</v>
      </c>
      <c r="Q43" s="4" t="s">
        <v>83</v>
      </c>
    </row>
    <row r="44" customFormat="false" ht="61.5" hidden="false" customHeight="true" outlineLevel="0" collapsed="false">
      <c r="A44" s="4" t="s">
        <v>259</v>
      </c>
      <c r="B44" s="8" t="n">
        <v>13</v>
      </c>
      <c r="C44" s="8" t="n">
        <v>14</v>
      </c>
      <c r="D44" s="4" t="s">
        <v>269</v>
      </c>
      <c r="E44" s="4" t="s">
        <v>162</v>
      </c>
      <c r="F44" s="4" t="s">
        <v>261</v>
      </c>
      <c r="G44" s="4" t="s">
        <v>270</v>
      </c>
      <c r="H44" s="4" t="s">
        <v>271</v>
      </c>
      <c r="I44" s="4" t="s">
        <v>272</v>
      </c>
      <c r="J44" s="8" t="n">
        <v>3</v>
      </c>
      <c r="K44" s="4" t="s">
        <v>44</v>
      </c>
      <c r="L44" s="4" t="s">
        <v>43</v>
      </c>
      <c r="M44" s="4" t="s">
        <v>260</v>
      </c>
      <c r="N44" s="8" t="s">
        <v>76</v>
      </c>
      <c r="O44" s="8" t="s">
        <v>23</v>
      </c>
      <c r="P44" s="8" t="s">
        <v>78</v>
      </c>
      <c r="Q44" s="4" t="s">
        <v>50</v>
      </c>
    </row>
    <row r="45" customFormat="false" ht="61.5" hidden="false" customHeight="true" outlineLevel="0" collapsed="false">
      <c r="A45" s="4" t="s">
        <v>259</v>
      </c>
      <c r="B45" s="8" t="n">
        <v>15</v>
      </c>
      <c r="C45" s="8" t="n">
        <v>15</v>
      </c>
      <c r="D45" s="4" t="s">
        <v>273</v>
      </c>
      <c r="E45" s="4" t="s">
        <v>162</v>
      </c>
      <c r="F45" s="4" t="s">
        <v>261</v>
      </c>
      <c r="G45" s="4" t="s">
        <v>274</v>
      </c>
      <c r="H45" s="4" t="s">
        <v>275</v>
      </c>
      <c r="I45" s="4" t="s">
        <v>276</v>
      </c>
      <c r="J45" s="8" t="n">
        <v>2</v>
      </c>
      <c r="K45" s="4" t="s">
        <v>44</v>
      </c>
      <c r="L45" s="4" t="s">
        <v>43</v>
      </c>
      <c r="M45" s="4" t="s">
        <v>269</v>
      </c>
      <c r="N45" s="8" t="s">
        <v>76</v>
      </c>
      <c r="O45" s="8" t="s">
        <v>23</v>
      </c>
      <c r="P45" s="8" t="s">
        <v>78</v>
      </c>
      <c r="Q45" s="4" t="s">
        <v>50</v>
      </c>
    </row>
    <row r="47" customFormat="false" ht="15" hidden="false" customHeight="false" outlineLevel="0" collapsed="false">
      <c r="A47" s="9" t="s">
        <v>277</v>
      </c>
    </row>
  </sheetData>
  <autoFilter ref="A4:Q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16" min="5" style="0" width="9"/>
  </cols>
  <sheetData>
    <row r="1" customFormat="false" ht="17.3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279</v>
      </c>
    </row>
    <row r="3" customFormat="false" ht="15" hidden="false" customHeight="false" outlineLevel="0" collapsed="false">
      <c r="D3" s="10" t="s">
        <v>54</v>
      </c>
      <c r="E3" s="10" t="s">
        <v>280</v>
      </c>
      <c r="F3" s="10" t="s">
        <v>280</v>
      </c>
      <c r="G3" s="10" t="s">
        <v>280</v>
      </c>
      <c r="H3" s="10" t="s">
        <v>280</v>
      </c>
      <c r="I3" s="10" t="s">
        <v>281</v>
      </c>
      <c r="J3" s="10" t="s">
        <v>281</v>
      </c>
      <c r="K3" s="10" t="s">
        <v>281</v>
      </c>
      <c r="L3" s="10" t="s">
        <v>281</v>
      </c>
      <c r="M3" s="10" t="s">
        <v>282</v>
      </c>
      <c r="N3" s="10" t="s">
        <v>282</v>
      </c>
      <c r="O3" s="10" t="s">
        <v>282</v>
      </c>
      <c r="P3" s="10" t="s">
        <v>282</v>
      </c>
    </row>
    <row r="4" customFormat="false" ht="15" hidden="false" customHeight="false" outlineLevel="0" collapsed="false">
      <c r="D4" s="11" t="s">
        <v>283</v>
      </c>
      <c r="E4" s="11" t="s">
        <v>284</v>
      </c>
      <c r="F4" s="11" t="s">
        <v>285</v>
      </c>
      <c r="G4" s="11" t="s">
        <v>285</v>
      </c>
      <c r="H4" s="11" t="s">
        <v>286</v>
      </c>
      <c r="I4" s="11" t="s">
        <v>287</v>
      </c>
      <c r="J4" s="11" t="s">
        <v>287</v>
      </c>
      <c r="K4" s="11" t="s">
        <v>287</v>
      </c>
      <c r="L4" s="11" t="s">
        <v>288</v>
      </c>
      <c r="M4" s="11" t="s">
        <v>282</v>
      </c>
      <c r="N4" s="11" t="s">
        <v>282</v>
      </c>
      <c r="O4" s="11" t="s">
        <v>282</v>
      </c>
      <c r="P4" s="11" t="s">
        <v>282</v>
      </c>
    </row>
    <row r="5" customFormat="false" ht="30" hidden="false" customHeight="true" outlineLevel="0" collapsed="false">
      <c r="A5" s="3" t="s">
        <v>57</v>
      </c>
      <c r="B5" s="3" t="s">
        <v>60</v>
      </c>
      <c r="C5" s="3" t="s">
        <v>3</v>
      </c>
      <c r="D5" s="3" t="s">
        <v>63</v>
      </c>
      <c r="E5" s="3" t="s">
        <v>289</v>
      </c>
      <c r="F5" s="3" t="s">
        <v>290</v>
      </c>
      <c r="G5" s="3" t="s">
        <v>291</v>
      </c>
      <c r="H5" s="3" t="s">
        <v>292</v>
      </c>
      <c r="I5" s="3" t="s">
        <v>293</v>
      </c>
      <c r="J5" s="3" t="s">
        <v>294</v>
      </c>
      <c r="K5" s="3" t="s">
        <v>295</v>
      </c>
      <c r="L5" s="3" t="s">
        <v>296</v>
      </c>
      <c r="M5" s="3" t="s">
        <v>297</v>
      </c>
      <c r="N5" s="3" t="s">
        <v>298</v>
      </c>
      <c r="O5" s="3" t="s">
        <v>299</v>
      </c>
      <c r="P5" s="3" t="s">
        <v>300</v>
      </c>
    </row>
    <row r="6" customFormat="false" ht="15" hidden="false" customHeight="false" outlineLevel="0" collapsed="false">
      <c r="B6" s="12" t="n">
        <f aca="false">DATE(2026,9,14)</f>
        <v>46279</v>
      </c>
      <c r="C6" s="13" t="s">
        <v>301</v>
      </c>
      <c r="D6" s="14" t="s">
        <v>302</v>
      </c>
      <c r="E6" s="15" t="n">
        <f aca="false">$B$6+0</f>
        <v>46279</v>
      </c>
      <c r="F6" s="15" t="n">
        <f aca="false">$B$6+7</f>
        <v>46286</v>
      </c>
      <c r="G6" s="15" t="n">
        <f aca="false">$B$6+14</f>
        <v>46293</v>
      </c>
      <c r="H6" s="15" t="n">
        <f aca="false">$B$6+21</f>
        <v>46300</v>
      </c>
      <c r="I6" s="15" t="n">
        <f aca="false">$B$6+28</f>
        <v>46307</v>
      </c>
      <c r="J6" s="15" t="n">
        <f aca="false">$B$6+35</f>
        <v>46314</v>
      </c>
      <c r="K6" s="15" t="n">
        <f aca="false">$B$6+42</f>
        <v>46321</v>
      </c>
      <c r="L6" s="15" t="n">
        <f aca="false">$B$6+49</f>
        <v>46328</v>
      </c>
      <c r="M6" s="15" t="n">
        <f aca="false">$B$6+56</f>
        <v>46335</v>
      </c>
      <c r="N6" s="15" t="n">
        <f aca="false">$B$6+63</f>
        <v>46342</v>
      </c>
      <c r="O6" s="15" t="n">
        <f aca="false">$B$6+70</f>
        <v>46349</v>
      </c>
      <c r="P6" s="15" t="n">
        <f aca="false">$B$6+77</f>
        <v>46356</v>
      </c>
    </row>
    <row r="7" customFormat="false" ht="15.75" hidden="false" customHeight="true" outlineLevel="0" collapsed="false">
      <c r="A7" s="16" t="str">
        <f aca="false">'Sprint Backlog'!D5</f>
        <v>EN-001</v>
      </c>
      <c r="B7" s="16" t="str">
        <f aca="false">'Sprint Backlog'!G5</f>
        <v>Documento de arquitectura del sistema</v>
      </c>
      <c r="C7" s="16" t="str">
        <f aca="false">'Sprint Backlog'!K5</f>
        <v>Sergio Celi</v>
      </c>
      <c r="D7" s="5" t="n">
        <f aca="false">'Sprint Backlog'!J5</f>
        <v>3</v>
      </c>
      <c r="E7" s="17" t="str">
        <f aca="false">IF(AND(4&gt;='Sprint Backlog'!$B5,4&lt;='Sprint Backlog'!$C5),IF('Sprint Backlog'!$P5="Hecho","✔","■"),"")</f>
        <v>■</v>
      </c>
      <c r="F7" s="17" t="str">
        <f aca="false">IF(AND(5&gt;='Sprint Backlog'!$B5,5&lt;='Sprint Backlog'!$C5),IF('Sprint Backlog'!$P5="Hecho","✔","■"),"")</f>
        <v/>
      </c>
      <c r="G7" s="17" t="str">
        <f aca="false">IF(AND(6&gt;='Sprint Backlog'!$B5,6&lt;='Sprint Backlog'!$C5),IF('Sprint Backlog'!$P5="Hecho","✔","■"),"")</f>
        <v/>
      </c>
      <c r="H7" s="17" t="str">
        <f aca="false">IF(AND(7&gt;='Sprint Backlog'!$B5,7&lt;='Sprint Backlog'!$C5),IF('Sprint Backlog'!$P5="Hecho","✔","■"),"")</f>
        <v/>
      </c>
      <c r="I7" s="17" t="str">
        <f aca="false">IF(AND(8&gt;='Sprint Backlog'!$B5,8&lt;='Sprint Backlog'!$C5),IF('Sprint Backlog'!$P5="Hecho","✔","■"),"")</f>
        <v/>
      </c>
      <c r="J7" s="17" t="str">
        <f aca="false">IF(AND(9&gt;='Sprint Backlog'!$B5,9&lt;='Sprint Backlog'!$C5),IF('Sprint Backlog'!$P5="Hecho","✔","■"),"")</f>
        <v/>
      </c>
      <c r="K7" s="17" t="str">
        <f aca="false">IF(AND(10&gt;='Sprint Backlog'!$B5,10&lt;='Sprint Backlog'!$C5),IF('Sprint Backlog'!$P5="Hecho","✔","■"),"")</f>
        <v/>
      </c>
      <c r="L7" s="17" t="str">
        <f aca="false">IF(AND(11&gt;='Sprint Backlog'!$B5,11&lt;='Sprint Backlog'!$C5),IF('Sprint Backlog'!$P5="Hecho","✔","■"),"")</f>
        <v/>
      </c>
      <c r="M7" s="17" t="str">
        <f aca="false">IF(AND(12&gt;='Sprint Backlog'!$B5,12&lt;='Sprint Backlog'!$C5),IF('Sprint Backlog'!$P5="Hecho","✔","■"),"")</f>
        <v/>
      </c>
      <c r="N7" s="17" t="str">
        <f aca="false">IF(AND(13&gt;='Sprint Backlog'!$B5,13&lt;='Sprint Backlog'!$C5),IF('Sprint Backlog'!$P5="Hecho","✔","■"),"")</f>
        <v/>
      </c>
      <c r="O7" s="17" t="str">
        <f aca="false">IF(AND(14&gt;='Sprint Backlog'!$B5,14&lt;='Sprint Backlog'!$C5),IF('Sprint Backlog'!$P5="Hecho","✔","■"),"")</f>
        <v/>
      </c>
      <c r="P7" s="17" t="str">
        <f aca="false">IF(AND(15&gt;='Sprint Backlog'!$B5,15&lt;='Sprint Backlog'!$C5),IF('Sprint Backlog'!$P5="Hecho","✔","■"),"")</f>
        <v/>
      </c>
    </row>
    <row r="8" customFormat="false" ht="15.75" hidden="false" customHeight="true" outlineLevel="0" collapsed="false">
      <c r="A8" s="16" t="str">
        <f aca="false">'Sprint Backlog'!D6</f>
        <v>EN-002</v>
      </c>
      <c r="B8" s="16" t="str">
        <f aca="false">'Sprint Backlog'!G6</f>
        <v>Modelo de datos relacional y vectorial</v>
      </c>
      <c r="C8" s="16" t="str">
        <f aca="false">'Sprint Backlog'!K6</f>
        <v>Yan Liu Dai</v>
      </c>
      <c r="D8" s="5" t="n">
        <f aca="false">'Sprint Backlog'!J6</f>
        <v>3</v>
      </c>
      <c r="E8" s="17" t="str">
        <f aca="false">IF(AND(4&gt;='Sprint Backlog'!$B6,4&lt;='Sprint Backlog'!$C6),IF('Sprint Backlog'!$P6="Hecho","✔","■"),"")</f>
        <v>■</v>
      </c>
      <c r="F8" s="17" t="str">
        <f aca="false">IF(AND(5&gt;='Sprint Backlog'!$B6,5&lt;='Sprint Backlog'!$C6),IF('Sprint Backlog'!$P6="Hecho","✔","■"),"")</f>
        <v>■</v>
      </c>
      <c r="G8" s="17" t="str">
        <f aca="false">IF(AND(6&gt;='Sprint Backlog'!$B6,6&lt;='Sprint Backlog'!$C6),IF('Sprint Backlog'!$P6="Hecho","✔","■"),"")</f>
        <v/>
      </c>
      <c r="H8" s="17" t="str">
        <f aca="false">IF(AND(7&gt;='Sprint Backlog'!$B6,7&lt;='Sprint Backlog'!$C6),IF('Sprint Backlog'!$P6="Hecho","✔","■"),"")</f>
        <v/>
      </c>
      <c r="I8" s="17" t="str">
        <f aca="false">IF(AND(8&gt;='Sprint Backlog'!$B6,8&lt;='Sprint Backlog'!$C6),IF('Sprint Backlog'!$P6="Hecho","✔","■"),"")</f>
        <v/>
      </c>
      <c r="J8" s="17" t="str">
        <f aca="false">IF(AND(9&gt;='Sprint Backlog'!$B6,9&lt;='Sprint Backlog'!$C6),IF('Sprint Backlog'!$P6="Hecho","✔","■"),"")</f>
        <v/>
      </c>
      <c r="K8" s="17" t="str">
        <f aca="false">IF(AND(10&gt;='Sprint Backlog'!$B6,10&lt;='Sprint Backlog'!$C6),IF('Sprint Backlog'!$P6="Hecho","✔","■"),"")</f>
        <v/>
      </c>
      <c r="L8" s="17" t="str">
        <f aca="false">IF(AND(11&gt;='Sprint Backlog'!$B6,11&lt;='Sprint Backlog'!$C6),IF('Sprint Backlog'!$P6="Hecho","✔","■"),"")</f>
        <v/>
      </c>
      <c r="M8" s="17" t="str">
        <f aca="false">IF(AND(12&gt;='Sprint Backlog'!$B6,12&lt;='Sprint Backlog'!$C6),IF('Sprint Backlog'!$P6="Hecho","✔","■"),"")</f>
        <v/>
      </c>
      <c r="N8" s="17" t="str">
        <f aca="false">IF(AND(13&gt;='Sprint Backlog'!$B6,13&lt;='Sprint Backlog'!$C6),IF('Sprint Backlog'!$P6="Hecho","✔","■"),"")</f>
        <v/>
      </c>
      <c r="O8" s="17" t="str">
        <f aca="false">IF(AND(14&gt;='Sprint Backlog'!$B6,14&lt;='Sprint Backlog'!$C6),IF('Sprint Backlog'!$P6="Hecho","✔","■"),"")</f>
        <v/>
      </c>
      <c r="P8" s="17" t="str">
        <f aca="false">IF(AND(15&gt;='Sprint Backlog'!$B6,15&lt;='Sprint Backlog'!$C6),IF('Sprint Backlog'!$P6="Hecho","✔","■"),"")</f>
        <v/>
      </c>
    </row>
    <row r="9" customFormat="false" ht="15.75" hidden="false" customHeight="true" outlineLevel="0" collapsed="false">
      <c r="A9" s="16" t="str">
        <f aca="false">'Sprint Backlog'!D7</f>
        <v>EN-003</v>
      </c>
      <c r="B9" s="16" t="str">
        <f aca="false">'Sprint Backlog'!G7</f>
        <v>Contratos JSON de generación por tipo de recurso</v>
      </c>
      <c r="C9" s="16" t="str">
        <f aca="false">'Sprint Backlog'!K7</f>
        <v>Yan Liu Dai</v>
      </c>
      <c r="D9" s="5" t="n">
        <f aca="false">'Sprint Backlog'!J7</f>
        <v>2</v>
      </c>
      <c r="E9" s="17" t="str">
        <f aca="false">IF(AND(4&gt;='Sprint Backlog'!$B7,4&lt;='Sprint Backlog'!$C7),IF('Sprint Backlog'!$P7="Hecho","✔","■"),"")</f>
        <v>■</v>
      </c>
      <c r="F9" s="17" t="str">
        <f aca="false">IF(AND(5&gt;='Sprint Backlog'!$B7,5&lt;='Sprint Backlog'!$C7),IF('Sprint Backlog'!$P7="Hecho","✔","■"),"")</f>
        <v>■</v>
      </c>
      <c r="G9" s="17" t="str">
        <f aca="false">IF(AND(6&gt;='Sprint Backlog'!$B7,6&lt;='Sprint Backlog'!$C7),IF('Sprint Backlog'!$P7="Hecho","✔","■"),"")</f>
        <v/>
      </c>
      <c r="H9" s="17" t="str">
        <f aca="false">IF(AND(7&gt;='Sprint Backlog'!$B7,7&lt;='Sprint Backlog'!$C7),IF('Sprint Backlog'!$P7="Hecho","✔","■"),"")</f>
        <v/>
      </c>
      <c r="I9" s="17" t="str">
        <f aca="false">IF(AND(8&gt;='Sprint Backlog'!$B7,8&lt;='Sprint Backlog'!$C7),IF('Sprint Backlog'!$P7="Hecho","✔","■"),"")</f>
        <v/>
      </c>
      <c r="J9" s="17" t="str">
        <f aca="false">IF(AND(9&gt;='Sprint Backlog'!$B7,9&lt;='Sprint Backlog'!$C7),IF('Sprint Backlog'!$P7="Hecho","✔","■"),"")</f>
        <v/>
      </c>
      <c r="K9" s="17" t="str">
        <f aca="false">IF(AND(10&gt;='Sprint Backlog'!$B7,10&lt;='Sprint Backlog'!$C7),IF('Sprint Backlog'!$P7="Hecho","✔","■"),"")</f>
        <v/>
      </c>
      <c r="L9" s="17" t="str">
        <f aca="false">IF(AND(11&gt;='Sprint Backlog'!$B7,11&lt;='Sprint Backlog'!$C7),IF('Sprint Backlog'!$P7="Hecho","✔","■"),"")</f>
        <v/>
      </c>
      <c r="M9" s="17" t="str">
        <f aca="false">IF(AND(12&gt;='Sprint Backlog'!$B7,12&lt;='Sprint Backlog'!$C7),IF('Sprint Backlog'!$P7="Hecho","✔","■"),"")</f>
        <v/>
      </c>
      <c r="N9" s="17" t="str">
        <f aca="false">IF(AND(13&gt;='Sprint Backlog'!$B7,13&lt;='Sprint Backlog'!$C7),IF('Sprint Backlog'!$P7="Hecho","✔","■"),"")</f>
        <v/>
      </c>
      <c r="O9" s="17" t="str">
        <f aca="false">IF(AND(14&gt;='Sprint Backlog'!$B7,14&lt;='Sprint Backlog'!$C7),IF('Sprint Backlog'!$P7="Hecho","✔","■"),"")</f>
        <v/>
      </c>
      <c r="P9" s="17" t="str">
        <f aca="false">IF(AND(15&gt;='Sprint Backlog'!$B7,15&lt;='Sprint Backlog'!$C7),IF('Sprint Backlog'!$P7="Hecho","✔","■"),"")</f>
        <v/>
      </c>
    </row>
    <row r="10" customFormat="false" ht="15.75" hidden="false" customHeight="true" outlineLevel="0" collapsed="false">
      <c r="A10" s="16" t="str">
        <f aca="false">'Sprint Backlog'!D8</f>
        <v>EN-004</v>
      </c>
      <c r="B10" s="16" t="str">
        <f aca="false">'Sprint Backlog'!G8</f>
        <v>Línea base manual de tiempos con docentes</v>
      </c>
      <c r="C10" s="16" t="str">
        <f aca="false">'Sprint Backlog'!K8</f>
        <v>Juan Alegria</v>
      </c>
      <c r="D10" s="5" t="n">
        <f aca="false">'Sprint Backlog'!J8</f>
        <v>2</v>
      </c>
      <c r="E10" s="17" t="str">
        <f aca="false">IF(AND(4&gt;='Sprint Backlog'!$B8,4&lt;='Sprint Backlog'!$C8),IF('Sprint Backlog'!$P8="Hecho","✔","■"),"")</f>
        <v>■</v>
      </c>
      <c r="F10" s="17" t="str">
        <f aca="false">IF(AND(5&gt;='Sprint Backlog'!$B8,5&lt;='Sprint Backlog'!$C8),IF('Sprint Backlog'!$P8="Hecho","✔","■"),"")</f>
        <v>■</v>
      </c>
      <c r="G10" s="17" t="str">
        <f aca="false">IF(AND(6&gt;='Sprint Backlog'!$B8,6&lt;='Sprint Backlog'!$C8),IF('Sprint Backlog'!$P8="Hecho","✔","■"),"")</f>
        <v/>
      </c>
      <c r="H10" s="17" t="str">
        <f aca="false">IF(AND(7&gt;='Sprint Backlog'!$B8,7&lt;='Sprint Backlog'!$C8),IF('Sprint Backlog'!$P8="Hecho","✔","■"),"")</f>
        <v/>
      </c>
      <c r="I10" s="17" t="str">
        <f aca="false">IF(AND(8&gt;='Sprint Backlog'!$B8,8&lt;='Sprint Backlog'!$C8),IF('Sprint Backlog'!$P8="Hecho","✔","■"),"")</f>
        <v/>
      </c>
      <c r="J10" s="17" t="str">
        <f aca="false">IF(AND(9&gt;='Sprint Backlog'!$B8,9&lt;='Sprint Backlog'!$C8),IF('Sprint Backlog'!$P8="Hecho","✔","■"),"")</f>
        <v/>
      </c>
      <c r="K10" s="17" t="str">
        <f aca="false">IF(AND(10&gt;='Sprint Backlog'!$B8,10&lt;='Sprint Backlog'!$C8),IF('Sprint Backlog'!$P8="Hecho","✔","■"),"")</f>
        <v/>
      </c>
      <c r="L10" s="17" t="str">
        <f aca="false">IF(AND(11&gt;='Sprint Backlog'!$B8,11&lt;='Sprint Backlog'!$C8),IF('Sprint Backlog'!$P8="Hecho","✔","■"),"")</f>
        <v/>
      </c>
      <c r="M10" s="17" t="str">
        <f aca="false">IF(AND(12&gt;='Sprint Backlog'!$B8,12&lt;='Sprint Backlog'!$C8),IF('Sprint Backlog'!$P8="Hecho","✔","■"),"")</f>
        <v/>
      </c>
      <c r="N10" s="17" t="str">
        <f aca="false">IF(AND(13&gt;='Sprint Backlog'!$B8,13&lt;='Sprint Backlog'!$C8),IF('Sprint Backlog'!$P8="Hecho","✔","■"),"")</f>
        <v/>
      </c>
      <c r="O10" s="17" t="str">
        <f aca="false">IF(AND(14&gt;='Sprint Backlog'!$B8,14&lt;='Sprint Backlog'!$C8),IF('Sprint Backlog'!$P8="Hecho","✔","■"),"")</f>
        <v/>
      </c>
      <c r="P10" s="17" t="str">
        <f aca="false">IF(AND(15&gt;='Sprint Backlog'!$B8,15&lt;='Sprint Backlog'!$C8),IF('Sprint Backlog'!$P8="Hecho","✔","■"),"")</f>
        <v/>
      </c>
    </row>
    <row r="11" customFormat="false" ht="15.75" hidden="false" customHeight="true" outlineLevel="0" collapsed="false">
      <c r="A11" s="16" t="str">
        <f aca="false">'Sprint Backlog'!D9</f>
        <v>HU-001</v>
      </c>
      <c r="B11" s="16" t="str">
        <f aca="false">'Sprint Backlog'!G9</f>
        <v>Sistema de diseño y prototipo navegable</v>
      </c>
      <c r="C11" s="16" t="str">
        <f aca="false">'Sprint Backlog'!K9</f>
        <v>Silvana Diaz</v>
      </c>
      <c r="D11" s="5" t="n">
        <f aca="false">'Sprint Backlog'!J9</f>
        <v>5</v>
      </c>
      <c r="E11" s="17" t="str">
        <f aca="false">IF(AND(4&gt;='Sprint Backlog'!$B9,4&lt;='Sprint Backlog'!$C9),IF('Sprint Backlog'!$P9="Hecho","✔","■"),"")</f>
        <v>■</v>
      </c>
      <c r="F11" s="17" t="str">
        <f aca="false">IF(AND(5&gt;='Sprint Backlog'!$B9,5&lt;='Sprint Backlog'!$C9),IF('Sprint Backlog'!$P9="Hecho","✔","■"),"")</f>
        <v>■</v>
      </c>
      <c r="G11" s="17" t="str">
        <f aca="false">IF(AND(6&gt;='Sprint Backlog'!$B9,6&lt;='Sprint Backlog'!$C9),IF('Sprint Backlog'!$P9="Hecho","✔","■"),"")</f>
        <v/>
      </c>
      <c r="H11" s="17" t="str">
        <f aca="false">IF(AND(7&gt;='Sprint Backlog'!$B9,7&lt;='Sprint Backlog'!$C9),IF('Sprint Backlog'!$P9="Hecho","✔","■"),"")</f>
        <v/>
      </c>
      <c r="I11" s="17" t="str">
        <f aca="false">IF(AND(8&gt;='Sprint Backlog'!$B9,8&lt;='Sprint Backlog'!$C9),IF('Sprint Backlog'!$P9="Hecho","✔","■"),"")</f>
        <v/>
      </c>
      <c r="J11" s="17" t="str">
        <f aca="false">IF(AND(9&gt;='Sprint Backlog'!$B9,9&lt;='Sprint Backlog'!$C9),IF('Sprint Backlog'!$P9="Hecho","✔","■"),"")</f>
        <v/>
      </c>
      <c r="K11" s="17" t="str">
        <f aca="false">IF(AND(10&gt;='Sprint Backlog'!$B9,10&lt;='Sprint Backlog'!$C9),IF('Sprint Backlog'!$P9="Hecho","✔","■"),"")</f>
        <v/>
      </c>
      <c r="L11" s="17" t="str">
        <f aca="false">IF(AND(11&gt;='Sprint Backlog'!$B9,11&lt;='Sprint Backlog'!$C9),IF('Sprint Backlog'!$P9="Hecho","✔","■"),"")</f>
        <v/>
      </c>
      <c r="M11" s="17" t="str">
        <f aca="false">IF(AND(12&gt;='Sprint Backlog'!$B9,12&lt;='Sprint Backlog'!$C9),IF('Sprint Backlog'!$P9="Hecho","✔","■"),"")</f>
        <v/>
      </c>
      <c r="N11" s="17" t="str">
        <f aca="false">IF(AND(13&gt;='Sprint Backlog'!$B9,13&lt;='Sprint Backlog'!$C9),IF('Sprint Backlog'!$P9="Hecho","✔","■"),"")</f>
        <v/>
      </c>
      <c r="O11" s="17" t="str">
        <f aca="false">IF(AND(14&gt;='Sprint Backlog'!$B9,14&lt;='Sprint Backlog'!$C9),IF('Sprint Backlog'!$P9="Hecho","✔","■"),"")</f>
        <v/>
      </c>
      <c r="P11" s="17" t="str">
        <f aca="false">IF(AND(15&gt;='Sprint Backlog'!$B9,15&lt;='Sprint Backlog'!$C9),IF('Sprint Backlog'!$P9="Hecho","✔","■"),"")</f>
        <v/>
      </c>
    </row>
    <row r="12" customFormat="false" ht="15.75" hidden="false" customHeight="true" outlineLevel="0" collapsed="false">
      <c r="A12" s="16" t="str">
        <f aca="false">'Sprint Backlog'!D10</f>
        <v>SP-001</v>
      </c>
      <c r="B12" s="16" t="str">
        <f aca="false">'Sprint Backlog'!G10</f>
        <v>Spike: selección de los LMS objetivo</v>
      </c>
      <c r="C12" s="16" t="str">
        <f aca="false">'Sprint Backlog'!K10</f>
        <v>Sergio Celi</v>
      </c>
      <c r="D12" s="5" t="n">
        <f aca="false">'Sprint Backlog'!J10</f>
        <v>3</v>
      </c>
      <c r="E12" s="17" t="str">
        <f aca="false">IF(AND(4&gt;='Sprint Backlog'!$B10,4&lt;='Sprint Backlog'!$C10),IF('Sprint Backlog'!$P10="Hecho","✔","■"),"")</f>
        <v>■</v>
      </c>
      <c r="F12" s="17" t="str">
        <f aca="false">IF(AND(5&gt;='Sprint Backlog'!$B10,5&lt;='Sprint Backlog'!$C10),IF('Sprint Backlog'!$P10="Hecho","✔","■"),"")</f>
        <v>■</v>
      </c>
      <c r="G12" s="17" t="str">
        <f aca="false">IF(AND(6&gt;='Sprint Backlog'!$B10,6&lt;='Sprint Backlog'!$C10),IF('Sprint Backlog'!$P10="Hecho","✔","■"),"")</f>
        <v/>
      </c>
      <c r="H12" s="17" t="str">
        <f aca="false">IF(AND(7&gt;='Sprint Backlog'!$B10,7&lt;='Sprint Backlog'!$C10),IF('Sprint Backlog'!$P10="Hecho","✔","■"),"")</f>
        <v/>
      </c>
      <c r="I12" s="17" t="str">
        <f aca="false">IF(AND(8&gt;='Sprint Backlog'!$B10,8&lt;='Sprint Backlog'!$C10),IF('Sprint Backlog'!$P10="Hecho","✔","■"),"")</f>
        <v/>
      </c>
      <c r="J12" s="17" t="str">
        <f aca="false">IF(AND(9&gt;='Sprint Backlog'!$B10,9&lt;='Sprint Backlog'!$C10),IF('Sprint Backlog'!$P10="Hecho","✔","■"),"")</f>
        <v/>
      </c>
      <c r="K12" s="17" t="str">
        <f aca="false">IF(AND(10&gt;='Sprint Backlog'!$B10,10&lt;='Sprint Backlog'!$C10),IF('Sprint Backlog'!$P10="Hecho","✔","■"),"")</f>
        <v/>
      </c>
      <c r="L12" s="17" t="str">
        <f aca="false">IF(AND(11&gt;='Sprint Backlog'!$B10,11&lt;='Sprint Backlog'!$C10),IF('Sprint Backlog'!$P10="Hecho","✔","■"),"")</f>
        <v/>
      </c>
      <c r="M12" s="17" t="str">
        <f aca="false">IF(AND(12&gt;='Sprint Backlog'!$B10,12&lt;='Sprint Backlog'!$C10),IF('Sprint Backlog'!$P10="Hecho","✔","■"),"")</f>
        <v/>
      </c>
      <c r="N12" s="17" t="str">
        <f aca="false">IF(AND(13&gt;='Sprint Backlog'!$B10,13&lt;='Sprint Backlog'!$C10),IF('Sprint Backlog'!$P10="Hecho","✔","■"),"")</f>
        <v/>
      </c>
      <c r="O12" s="17" t="str">
        <f aca="false">IF(AND(14&gt;='Sprint Backlog'!$B10,14&lt;='Sprint Backlog'!$C10),IF('Sprint Backlog'!$P10="Hecho","✔","■"),"")</f>
        <v/>
      </c>
      <c r="P12" s="17" t="str">
        <f aca="false">IF(AND(15&gt;='Sprint Backlog'!$B10,15&lt;='Sprint Backlog'!$C10),IF('Sprint Backlog'!$P10="Hecho","✔","■"),"")</f>
        <v/>
      </c>
    </row>
    <row r="13" customFormat="false" ht="15.75" hidden="false" customHeight="true" outlineLevel="0" collapsed="false">
      <c r="A13" s="16" t="str">
        <f aca="false">'Sprint Backlog'!D11</f>
        <v>SP-002</v>
      </c>
      <c r="B13" s="16" t="str">
        <f aca="false">'Sprint Backlog'!G11</f>
        <v>Spike: modelo de embeddings y motor vectorial</v>
      </c>
      <c r="C13" s="16" t="str">
        <f aca="false">'Sprint Backlog'!K11</f>
        <v>Yan Liu Dai</v>
      </c>
      <c r="D13" s="5" t="n">
        <f aca="false">'Sprint Backlog'!J11</f>
        <v>3</v>
      </c>
      <c r="E13" s="17" t="str">
        <f aca="false">IF(AND(4&gt;='Sprint Backlog'!$B11,4&lt;='Sprint Backlog'!$C11),IF('Sprint Backlog'!$P11="Hecho","✔","■"),"")</f>
        <v>■</v>
      </c>
      <c r="F13" s="17" t="str">
        <f aca="false">IF(AND(5&gt;='Sprint Backlog'!$B11,5&lt;='Sprint Backlog'!$C11),IF('Sprint Backlog'!$P11="Hecho","✔","■"),"")</f>
        <v>■</v>
      </c>
      <c r="G13" s="17" t="str">
        <f aca="false">IF(AND(6&gt;='Sprint Backlog'!$B11,6&lt;='Sprint Backlog'!$C11),IF('Sprint Backlog'!$P11="Hecho","✔","■"),"")</f>
        <v/>
      </c>
      <c r="H13" s="17" t="str">
        <f aca="false">IF(AND(7&gt;='Sprint Backlog'!$B11,7&lt;='Sprint Backlog'!$C11),IF('Sprint Backlog'!$P11="Hecho","✔","■"),"")</f>
        <v/>
      </c>
      <c r="I13" s="17" t="str">
        <f aca="false">IF(AND(8&gt;='Sprint Backlog'!$B11,8&lt;='Sprint Backlog'!$C11),IF('Sprint Backlog'!$P11="Hecho","✔","■"),"")</f>
        <v/>
      </c>
      <c r="J13" s="17" t="str">
        <f aca="false">IF(AND(9&gt;='Sprint Backlog'!$B11,9&lt;='Sprint Backlog'!$C11),IF('Sprint Backlog'!$P11="Hecho","✔","■"),"")</f>
        <v/>
      </c>
      <c r="K13" s="17" t="str">
        <f aca="false">IF(AND(10&gt;='Sprint Backlog'!$B11,10&lt;='Sprint Backlog'!$C11),IF('Sprint Backlog'!$P11="Hecho","✔","■"),"")</f>
        <v/>
      </c>
      <c r="L13" s="17" t="str">
        <f aca="false">IF(AND(11&gt;='Sprint Backlog'!$B11,11&lt;='Sprint Backlog'!$C11),IF('Sprint Backlog'!$P11="Hecho","✔","■"),"")</f>
        <v/>
      </c>
      <c r="M13" s="17" t="str">
        <f aca="false">IF(AND(12&gt;='Sprint Backlog'!$B11,12&lt;='Sprint Backlog'!$C11),IF('Sprint Backlog'!$P11="Hecho","✔","■"),"")</f>
        <v/>
      </c>
      <c r="N13" s="17" t="str">
        <f aca="false">IF(AND(13&gt;='Sprint Backlog'!$B11,13&lt;='Sprint Backlog'!$C11),IF('Sprint Backlog'!$P11="Hecho","✔","■"),"")</f>
        <v/>
      </c>
      <c r="O13" s="17" t="str">
        <f aca="false">IF(AND(14&gt;='Sprint Backlog'!$B11,14&lt;='Sprint Backlog'!$C11),IF('Sprint Backlog'!$P11="Hecho","✔","■"),"")</f>
        <v/>
      </c>
      <c r="P13" s="17" t="str">
        <f aca="false">IF(AND(15&gt;='Sprint Backlog'!$B11,15&lt;='Sprint Backlog'!$C11),IF('Sprint Backlog'!$P11="Hecho","✔","■"),"")</f>
        <v/>
      </c>
    </row>
    <row r="14" customFormat="false" ht="15.75" hidden="false" customHeight="true" outlineLevel="0" collapsed="false">
      <c r="A14" s="16" t="str">
        <f aca="false">'Sprint Backlog'!D12</f>
        <v>TA-001</v>
      </c>
      <c r="B14" s="16" t="str">
        <f aca="false">'Sprint Backlog'!G12</f>
        <v>Proyectos base de frontend y backend</v>
      </c>
      <c r="C14" s="16" t="str">
        <f aca="false">'Sprint Backlog'!K12</f>
        <v>Sergio Celi</v>
      </c>
      <c r="D14" s="5" t="n">
        <f aca="false">'Sprint Backlog'!J12</f>
        <v>2</v>
      </c>
      <c r="E14" s="17" t="str">
        <f aca="false">IF(AND(4&gt;='Sprint Backlog'!$B12,4&lt;='Sprint Backlog'!$C12),IF('Sprint Backlog'!$P12="Hecho","✔","■"),"")</f>
        <v>■</v>
      </c>
      <c r="F14" s="17" t="str">
        <f aca="false">IF(AND(5&gt;='Sprint Backlog'!$B12,5&lt;='Sprint Backlog'!$C12),IF('Sprint Backlog'!$P12="Hecho","✔","■"),"")</f>
        <v>■</v>
      </c>
      <c r="G14" s="17" t="str">
        <f aca="false">IF(AND(6&gt;='Sprint Backlog'!$B12,6&lt;='Sprint Backlog'!$C12),IF('Sprint Backlog'!$P12="Hecho","✔","■"),"")</f>
        <v/>
      </c>
      <c r="H14" s="17" t="str">
        <f aca="false">IF(AND(7&gt;='Sprint Backlog'!$B12,7&lt;='Sprint Backlog'!$C12),IF('Sprint Backlog'!$P12="Hecho","✔","■"),"")</f>
        <v/>
      </c>
      <c r="I14" s="17" t="str">
        <f aca="false">IF(AND(8&gt;='Sprint Backlog'!$B12,8&lt;='Sprint Backlog'!$C12),IF('Sprint Backlog'!$P12="Hecho","✔","■"),"")</f>
        <v/>
      </c>
      <c r="J14" s="17" t="str">
        <f aca="false">IF(AND(9&gt;='Sprint Backlog'!$B12,9&lt;='Sprint Backlog'!$C12),IF('Sprint Backlog'!$P12="Hecho","✔","■"),"")</f>
        <v/>
      </c>
      <c r="K14" s="17" t="str">
        <f aca="false">IF(AND(10&gt;='Sprint Backlog'!$B12,10&lt;='Sprint Backlog'!$C12),IF('Sprint Backlog'!$P12="Hecho","✔","■"),"")</f>
        <v/>
      </c>
      <c r="L14" s="17" t="str">
        <f aca="false">IF(AND(11&gt;='Sprint Backlog'!$B12,11&lt;='Sprint Backlog'!$C12),IF('Sprint Backlog'!$P12="Hecho","✔","■"),"")</f>
        <v/>
      </c>
      <c r="M14" s="17" t="str">
        <f aca="false">IF(AND(12&gt;='Sprint Backlog'!$B12,12&lt;='Sprint Backlog'!$C12),IF('Sprint Backlog'!$P12="Hecho","✔","■"),"")</f>
        <v/>
      </c>
      <c r="N14" s="17" t="str">
        <f aca="false">IF(AND(13&gt;='Sprint Backlog'!$B12,13&lt;='Sprint Backlog'!$C12),IF('Sprint Backlog'!$P12="Hecho","✔","■"),"")</f>
        <v/>
      </c>
      <c r="O14" s="17" t="str">
        <f aca="false">IF(AND(14&gt;='Sprint Backlog'!$B12,14&lt;='Sprint Backlog'!$C12),IF('Sprint Backlog'!$P12="Hecho","✔","■"),"")</f>
        <v/>
      </c>
      <c r="P14" s="17" t="str">
        <f aca="false">IF(AND(15&gt;='Sprint Backlog'!$B12,15&lt;='Sprint Backlog'!$C12),IF('Sprint Backlog'!$P12="Hecho","✔","■"),"")</f>
        <v/>
      </c>
    </row>
    <row r="15" customFormat="false" ht="15.75" hidden="false" customHeight="true" outlineLevel="0" collapsed="false">
      <c r="A15" s="16" t="str">
        <f aca="false">'Sprint Backlog'!D13</f>
        <v>HU-002</v>
      </c>
      <c r="B15" s="16" t="str">
        <f aca="false">'Sprint Backlog'!G13</f>
        <v>Cargar material y extraer su texto</v>
      </c>
      <c r="C15" s="16" t="str">
        <f aca="false">'Sprint Backlog'!K13</f>
        <v>Sergio Celi</v>
      </c>
      <c r="D15" s="5" t="n">
        <f aca="false">'Sprint Backlog'!J13</f>
        <v>5</v>
      </c>
      <c r="E15" s="17" t="str">
        <f aca="false">IF(AND(4&gt;='Sprint Backlog'!$B13,4&lt;='Sprint Backlog'!$C13),IF('Sprint Backlog'!$P13="Hecho","✔","■"),"")</f>
        <v/>
      </c>
      <c r="F15" s="17" t="str">
        <f aca="false">IF(AND(5&gt;='Sprint Backlog'!$B13,5&lt;='Sprint Backlog'!$C13),IF('Sprint Backlog'!$P13="Hecho","✔","■"),"")</f>
        <v>■</v>
      </c>
      <c r="G15" s="17" t="str">
        <f aca="false">IF(AND(6&gt;='Sprint Backlog'!$B13,6&lt;='Sprint Backlog'!$C13),IF('Sprint Backlog'!$P13="Hecho","✔","■"),"")</f>
        <v>■</v>
      </c>
      <c r="H15" s="17" t="str">
        <f aca="false">IF(AND(7&gt;='Sprint Backlog'!$B13,7&lt;='Sprint Backlog'!$C13),IF('Sprint Backlog'!$P13="Hecho","✔","■"),"")</f>
        <v/>
      </c>
      <c r="I15" s="17" t="str">
        <f aca="false">IF(AND(8&gt;='Sprint Backlog'!$B13,8&lt;='Sprint Backlog'!$C13),IF('Sprint Backlog'!$P13="Hecho","✔","■"),"")</f>
        <v/>
      </c>
      <c r="J15" s="17" t="str">
        <f aca="false">IF(AND(9&gt;='Sprint Backlog'!$B13,9&lt;='Sprint Backlog'!$C13),IF('Sprint Backlog'!$P13="Hecho","✔","■"),"")</f>
        <v/>
      </c>
      <c r="K15" s="17" t="str">
        <f aca="false">IF(AND(10&gt;='Sprint Backlog'!$B13,10&lt;='Sprint Backlog'!$C13),IF('Sprint Backlog'!$P13="Hecho","✔","■"),"")</f>
        <v/>
      </c>
      <c r="L15" s="17" t="str">
        <f aca="false">IF(AND(11&gt;='Sprint Backlog'!$B13,11&lt;='Sprint Backlog'!$C13),IF('Sprint Backlog'!$P13="Hecho","✔","■"),"")</f>
        <v/>
      </c>
      <c r="M15" s="17" t="str">
        <f aca="false">IF(AND(12&gt;='Sprint Backlog'!$B13,12&lt;='Sprint Backlog'!$C13),IF('Sprint Backlog'!$P13="Hecho","✔","■"),"")</f>
        <v/>
      </c>
      <c r="N15" s="17" t="str">
        <f aca="false">IF(AND(13&gt;='Sprint Backlog'!$B13,13&lt;='Sprint Backlog'!$C13),IF('Sprint Backlog'!$P13="Hecho","✔","■"),"")</f>
        <v/>
      </c>
      <c r="O15" s="17" t="str">
        <f aca="false">IF(AND(14&gt;='Sprint Backlog'!$B13,14&lt;='Sprint Backlog'!$C13),IF('Sprint Backlog'!$P13="Hecho","✔","■"),"")</f>
        <v/>
      </c>
      <c r="P15" s="17" t="str">
        <f aca="false">IF(AND(15&gt;='Sprint Backlog'!$B13,15&lt;='Sprint Backlog'!$C13),IF('Sprint Backlog'!$P13="Hecho","✔","■"),"")</f>
        <v/>
      </c>
    </row>
    <row r="16" customFormat="false" ht="15.75" hidden="false" customHeight="true" outlineLevel="0" collapsed="false">
      <c r="A16" s="16" t="str">
        <f aca="false">'Sprint Backlog'!D14</f>
        <v>HU-003</v>
      </c>
      <c r="B16" s="16" t="str">
        <f aca="false">'Sprint Backlog'!G14</f>
        <v>Segmentar el material y etiquetar metadatos</v>
      </c>
      <c r="C16" s="16" t="str">
        <f aca="false">'Sprint Backlog'!K14</f>
        <v>Sergio Celi</v>
      </c>
      <c r="D16" s="5" t="n">
        <f aca="false">'Sprint Backlog'!J14</f>
        <v>2</v>
      </c>
      <c r="E16" s="17" t="str">
        <f aca="false">IF(AND(4&gt;='Sprint Backlog'!$B14,4&lt;='Sprint Backlog'!$C14),IF('Sprint Backlog'!$P14="Hecho","✔","■"),"")</f>
        <v/>
      </c>
      <c r="F16" s="17" t="str">
        <f aca="false">IF(AND(5&gt;='Sprint Backlog'!$B14,5&lt;='Sprint Backlog'!$C14),IF('Sprint Backlog'!$P14="Hecho","✔","■"),"")</f>
        <v>■</v>
      </c>
      <c r="G16" s="17" t="str">
        <f aca="false">IF(AND(6&gt;='Sprint Backlog'!$B14,6&lt;='Sprint Backlog'!$C14),IF('Sprint Backlog'!$P14="Hecho","✔","■"),"")</f>
        <v>■</v>
      </c>
      <c r="H16" s="17" t="str">
        <f aca="false">IF(AND(7&gt;='Sprint Backlog'!$B14,7&lt;='Sprint Backlog'!$C14),IF('Sprint Backlog'!$P14="Hecho","✔","■"),"")</f>
        <v/>
      </c>
      <c r="I16" s="17" t="str">
        <f aca="false">IF(AND(8&gt;='Sprint Backlog'!$B14,8&lt;='Sprint Backlog'!$C14),IF('Sprint Backlog'!$P14="Hecho","✔","■"),"")</f>
        <v/>
      </c>
      <c r="J16" s="17" t="str">
        <f aca="false">IF(AND(9&gt;='Sprint Backlog'!$B14,9&lt;='Sprint Backlog'!$C14),IF('Sprint Backlog'!$P14="Hecho","✔","■"),"")</f>
        <v/>
      </c>
      <c r="K16" s="17" t="str">
        <f aca="false">IF(AND(10&gt;='Sprint Backlog'!$B14,10&lt;='Sprint Backlog'!$C14),IF('Sprint Backlog'!$P14="Hecho","✔","■"),"")</f>
        <v/>
      </c>
      <c r="L16" s="17" t="str">
        <f aca="false">IF(AND(11&gt;='Sprint Backlog'!$B14,11&lt;='Sprint Backlog'!$C14),IF('Sprint Backlog'!$P14="Hecho","✔","■"),"")</f>
        <v/>
      </c>
      <c r="M16" s="17" t="str">
        <f aca="false">IF(AND(12&gt;='Sprint Backlog'!$B14,12&lt;='Sprint Backlog'!$C14),IF('Sprint Backlog'!$P14="Hecho","✔","■"),"")</f>
        <v/>
      </c>
      <c r="N16" s="17" t="str">
        <f aca="false">IF(AND(13&gt;='Sprint Backlog'!$B14,13&lt;='Sprint Backlog'!$C14),IF('Sprint Backlog'!$P14="Hecho","✔","■"),"")</f>
        <v/>
      </c>
      <c r="O16" s="17" t="str">
        <f aca="false">IF(AND(14&gt;='Sprint Backlog'!$B14,14&lt;='Sprint Backlog'!$C14),IF('Sprint Backlog'!$P14="Hecho","✔","■"),"")</f>
        <v/>
      </c>
      <c r="P16" s="17" t="str">
        <f aca="false">IF(AND(15&gt;='Sprint Backlog'!$B14,15&lt;='Sprint Backlog'!$C14),IF('Sprint Backlog'!$P14="Hecho","✔","■"),"")</f>
        <v/>
      </c>
    </row>
    <row r="17" customFormat="false" ht="15.75" hidden="false" customHeight="true" outlineLevel="0" collapsed="false">
      <c r="A17" s="16" t="str">
        <f aca="false">'Sprint Backlog'!D15</f>
        <v>HU-004</v>
      </c>
      <c r="B17" s="16" t="str">
        <f aca="false">'Sprint Backlog'!G15</f>
        <v>Vectorizar e indexar de forma incremental</v>
      </c>
      <c r="C17" s="16" t="str">
        <f aca="false">'Sprint Backlog'!K15</f>
        <v>Yan Liu Dai</v>
      </c>
      <c r="D17" s="5" t="n">
        <f aca="false">'Sprint Backlog'!J15</f>
        <v>5</v>
      </c>
      <c r="E17" s="17" t="str">
        <f aca="false">IF(AND(4&gt;='Sprint Backlog'!$B15,4&lt;='Sprint Backlog'!$C15),IF('Sprint Backlog'!$P15="Hecho","✔","■"),"")</f>
        <v/>
      </c>
      <c r="F17" s="17" t="str">
        <f aca="false">IF(AND(5&gt;='Sprint Backlog'!$B15,5&lt;='Sprint Backlog'!$C15),IF('Sprint Backlog'!$P15="Hecho","✔","■"),"")</f>
        <v>■</v>
      </c>
      <c r="G17" s="17" t="str">
        <f aca="false">IF(AND(6&gt;='Sprint Backlog'!$B15,6&lt;='Sprint Backlog'!$C15),IF('Sprint Backlog'!$P15="Hecho","✔","■"),"")</f>
        <v>■</v>
      </c>
      <c r="H17" s="17" t="str">
        <f aca="false">IF(AND(7&gt;='Sprint Backlog'!$B15,7&lt;='Sprint Backlog'!$C15),IF('Sprint Backlog'!$P15="Hecho","✔","■"),"")</f>
        <v/>
      </c>
      <c r="I17" s="17" t="str">
        <f aca="false">IF(AND(8&gt;='Sprint Backlog'!$B15,8&lt;='Sprint Backlog'!$C15),IF('Sprint Backlog'!$P15="Hecho","✔","■"),"")</f>
        <v/>
      </c>
      <c r="J17" s="17" t="str">
        <f aca="false">IF(AND(9&gt;='Sprint Backlog'!$B15,9&lt;='Sprint Backlog'!$C15),IF('Sprint Backlog'!$P15="Hecho","✔","■"),"")</f>
        <v/>
      </c>
      <c r="K17" s="17" t="str">
        <f aca="false">IF(AND(10&gt;='Sprint Backlog'!$B15,10&lt;='Sprint Backlog'!$C15),IF('Sprint Backlog'!$P15="Hecho","✔","■"),"")</f>
        <v/>
      </c>
      <c r="L17" s="17" t="str">
        <f aca="false">IF(AND(11&gt;='Sprint Backlog'!$B15,11&lt;='Sprint Backlog'!$C15),IF('Sprint Backlog'!$P15="Hecho","✔","■"),"")</f>
        <v/>
      </c>
      <c r="M17" s="17" t="str">
        <f aca="false">IF(AND(12&gt;='Sprint Backlog'!$B15,12&lt;='Sprint Backlog'!$C15),IF('Sprint Backlog'!$P15="Hecho","✔","■"),"")</f>
        <v/>
      </c>
      <c r="N17" s="17" t="str">
        <f aca="false">IF(AND(13&gt;='Sprint Backlog'!$B15,13&lt;='Sprint Backlog'!$C15),IF('Sprint Backlog'!$P15="Hecho","✔","■"),"")</f>
        <v/>
      </c>
      <c r="O17" s="17" t="str">
        <f aca="false">IF(AND(14&gt;='Sprint Backlog'!$B15,14&lt;='Sprint Backlog'!$C15),IF('Sprint Backlog'!$P15="Hecho","✔","■"),"")</f>
        <v/>
      </c>
      <c r="P17" s="17" t="str">
        <f aca="false">IF(AND(15&gt;='Sprint Backlog'!$B15,15&lt;='Sprint Backlog'!$C15),IF('Sprint Backlog'!$P15="Hecho","✔","■"),"")</f>
        <v/>
      </c>
    </row>
    <row r="18" customFormat="false" ht="15.75" hidden="false" customHeight="true" outlineLevel="0" collapsed="false">
      <c r="A18" s="16" t="str">
        <f aca="false">'Sprint Backlog'!D16</f>
        <v>HU-005</v>
      </c>
      <c r="B18" s="16" t="str">
        <f aca="false">'Sprint Backlog'!G16</f>
        <v>Recuperación híbrida con filtro por unidad</v>
      </c>
      <c r="C18" s="16" t="str">
        <f aca="false">'Sprint Backlog'!K16</f>
        <v>Yan Liu Dai</v>
      </c>
      <c r="D18" s="5" t="n">
        <f aca="false">'Sprint Backlog'!J16</f>
        <v>3</v>
      </c>
      <c r="E18" s="17" t="str">
        <f aca="false">IF(AND(4&gt;='Sprint Backlog'!$B16,4&lt;='Sprint Backlog'!$C16),IF('Sprint Backlog'!$P16="Hecho","✔","■"),"")</f>
        <v/>
      </c>
      <c r="F18" s="17" t="str">
        <f aca="false">IF(AND(5&gt;='Sprint Backlog'!$B16,5&lt;='Sprint Backlog'!$C16),IF('Sprint Backlog'!$P16="Hecho","✔","■"),"")</f>
        <v/>
      </c>
      <c r="G18" s="17" t="str">
        <f aca="false">IF(AND(6&gt;='Sprint Backlog'!$B16,6&lt;='Sprint Backlog'!$C16),IF('Sprint Backlog'!$P16="Hecho","✔","■"),"")</f>
        <v>■</v>
      </c>
      <c r="H18" s="17" t="str">
        <f aca="false">IF(AND(7&gt;='Sprint Backlog'!$B16,7&lt;='Sprint Backlog'!$C16),IF('Sprint Backlog'!$P16="Hecho","✔","■"),"")</f>
        <v/>
      </c>
      <c r="I18" s="17" t="str">
        <f aca="false">IF(AND(8&gt;='Sprint Backlog'!$B16,8&lt;='Sprint Backlog'!$C16),IF('Sprint Backlog'!$P16="Hecho","✔","■"),"")</f>
        <v/>
      </c>
      <c r="J18" s="17" t="str">
        <f aca="false">IF(AND(9&gt;='Sprint Backlog'!$B16,9&lt;='Sprint Backlog'!$C16),IF('Sprint Backlog'!$P16="Hecho","✔","■"),"")</f>
        <v/>
      </c>
      <c r="K18" s="17" t="str">
        <f aca="false">IF(AND(10&gt;='Sprint Backlog'!$B16,10&lt;='Sprint Backlog'!$C16),IF('Sprint Backlog'!$P16="Hecho","✔","■"),"")</f>
        <v/>
      </c>
      <c r="L18" s="17" t="str">
        <f aca="false">IF(AND(11&gt;='Sprint Backlog'!$B16,11&lt;='Sprint Backlog'!$C16),IF('Sprint Backlog'!$P16="Hecho","✔","■"),"")</f>
        <v/>
      </c>
      <c r="M18" s="17" t="str">
        <f aca="false">IF(AND(12&gt;='Sprint Backlog'!$B16,12&lt;='Sprint Backlog'!$C16),IF('Sprint Backlog'!$P16="Hecho","✔","■"),"")</f>
        <v/>
      </c>
      <c r="N18" s="17" t="str">
        <f aca="false">IF(AND(13&gt;='Sprint Backlog'!$B16,13&lt;='Sprint Backlog'!$C16),IF('Sprint Backlog'!$P16="Hecho","✔","■"),"")</f>
        <v/>
      </c>
      <c r="O18" s="17" t="str">
        <f aca="false">IF(AND(14&gt;='Sprint Backlog'!$B16,14&lt;='Sprint Backlog'!$C16),IF('Sprint Backlog'!$P16="Hecho","✔","■"),"")</f>
        <v/>
      </c>
      <c r="P18" s="17" t="str">
        <f aca="false">IF(AND(15&gt;='Sprint Backlog'!$B16,15&lt;='Sprint Backlog'!$C16),IF('Sprint Backlog'!$P16="Hecho","✔","■"),"")</f>
        <v/>
      </c>
    </row>
    <row r="19" customFormat="false" ht="15.75" hidden="false" customHeight="true" outlineLevel="0" collapsed="false">
      <c r="A19" s="16" t="str">
        <f aca="false">'Sprint Backlog'!D17</f>
        <v>HU-006</v>
      </c>
      <c r="B19" s="16" t="str">
        <f aca="false">'Sprint Backlog'!G17</f>
        <v>Generación anclada con citación por afirmación</v>
      </c>
      <c r="C19" s="16" t="str">
        <f aca="false">'Sprint Backlog'!K17</f>
        <v>Yan Liu Dai</v>
      </c>
      <c r="D19" s="5" t="n">
        <f aca="false">'Sprint Backlog'!J17</f>
        <v>5</v>
      </c>
      <c r="E19" s="17" t="str">
        <f aca="false">IF(AND(4&gt;='Sprint Backlog'!$B17,4&lt;='Sprint Backlog'!$C17),IF('Sprint Backlog'!$P17="Hecho","✔","■"),"")</f>
        <v/>
      </c>
      <c r="F19" s="17" t="str">
        <f aca="false">IF(AND(5&gt;='Sprint Backlog'!$B17,5&lt;='Sprint Backlog'!$C17),IF('Sprint Backlog'!$P17="Hecho","✔","■"),"")</f>
        <v/>
      </c>
      <c r="G19" s="17" t="str">
        <f aca="false">IF(AND(6&gt;='Sprint Backlog'!$B17,6&lt;='Sprint Backlog'!$C17),IF('Sprint Backlog'!$P17="Hecho","✔","■"),"")</f>
        <v>■</v>
      </c>
      <c r="H19" s="17" t="str">
        <f aca="false">IF(AND(7&gt;='Sprint Backlog'!$B17,7&lt;='Sprint Backlog'!$C17),IF('Sprint Backlog'!$P17="Hecho","✔","■"),"")</f>
        <v>■</v>
      </c>
      <c r="I19" s="17" t="str">
        <f aca="false">IF(AND(8&gt;='Sprint Backlog'!$B17,8&lt;='Sprint Backlog'!$C17),IF('Sprint Backlog'!$P17="Hecho","✔","■"),"")</f>
        <v/>
      </c>
      <c r="J19" s="17" t="str">
        <f aca="false">IF(AND(9&gt;='Sprint Backlog'!$B17,9&lt;='Sprint Backlog'!$C17),IF('Sprint Backlog'!$P17="Hecho","✔","■"),"")</f>
        <v/>
      </c>
      <c r="K19" s="17" t="str">
        <f aca="false">IF(AND(10&gt;='Sprint Backlog'!$B17,10&lt;='Sprint Backlog'!$C17),IF('Sprint Backlog'!$P17="Hecho","✔","■"),"")</f>
        <v/>
      </c>
      <c r="L19" s="17" t="str">
        <f aca="false">IF(AND(11&gt;='Sprint Backlog'!$B17,11&lt;='Sprint Backlog'!$C17),IF('Sprint Backlog'!$P17="Hecho","✔","■"),"")</f>
        <v/>
      </c>
      <c r="M19" s="17" t="str">
        <f aca="false">IF(AND(12&gt;='Sprint Backlog'!$B17,12&lt;='Sprint Backlog'!$C17),IF('Sprint Backlog'!$P17="Hecho","✔","■"),"")</f>
        <v/>
      </c>
      <c r="N19" s="17" t="str">
        <f aca="false">IF(AND(13&gt;='Sprint Backlog'!$B17,13&lt;='Sprint Backlog'!$C17),IF('Sprint Backlog'!$P17="Hecho","✔","■"),"")</f>
        <v/>
      </c>
      <c r="O19" s="17" t="str">
        <f aca="false">IF(AND(14&gt;='Sprint Backlog'!$B17,14&lt;='Sprint Backlog'!$C17),IF('Sprint Backlog'!$P17="Hecho","✔","■"),"")</f>
        <v/>
      </c>
      <c r="P19" s="17" t="str">
        <f aca="false">IF(AND(15&gt;='Sprint Backlog'!$B17,15&lt;='Sprint Backlog'!$C17),IF('Sprint Backlog'!$P17="Hecho","✔","■"),"")</f>
        <v/>
      </c>
    </row>
    <row r="20" customFormat="false" ht="15.75" hidden="false" customHeight="true" outlineLevel="0" collapsed="false">
      <c r="A20" s="16" t="str">
        <f aca="false">'Sprint Backlog'!D18</f>
        <v>HU-007</v>
      </c>
      <c r="B20" s="16" t="str">
        <f aca="false">'Sprint Backlog'!G18</f>
        <v>Verificación de anclaje y rechazo por falta de evidencia</v>
      </c>
      <c r="C20" s="16" t="str">
        <f aca="false">'Sprint Backlog'!K18</f>
        <v>Yan Liu Dai</v>
      </c>
      <c r="D20" s="5" t="n">
        <f aca="false">'Sprint Backlog'!J18</f>
        <v>5</v>
      </c>
      <c r="E20" s="17" t="str">
        <f aca="false">IF(AND(4&gt;='Sprint Backlog'!$B18,4&lt;='Sprint Backlog'!$C18),IF('Sprint Backlog'!$P18="Hecho","✔","■"),"")</f>
        <v/>
      </c>
      <c r="F20" s="17" t="str">
        <f aca="false">IF(AND(5&gt;='Sprint Backlog'!$B18,5&lt;='Sprint Backlog'!$C18),IF('Sprint Backlog'!$P18="Hecho","✔","■"),"")</f>
        <v/>
      </c>
      <c r="G20" s="17" t="str">
        <f aca="false">IF(AND(6&gt;='Sprint Backlog'!$B18,6&lt;='Sprint Backlog'!$C18),IF('Sprint Backlog'!$P18="Hecho","✔","■"),"")</f>
        <v>■</v>
      </c>
      <c r="H20" s="17" t="str">
        <f aca="false">IF(AND(7&gt;='Sprint Backlog'!$B18,7&lt;='Sprint Backlog'!$C18),IF('Sprint Backlog'!$P18="Hecho","✔","■"),"")</f>
        <v>■</v>
      </c>
      <c r="I20" s="17" t="str">
        <f aca="false">IF(AND(8&gt;='Sprint Backlog'!$B18,8&lt;='Sprint Backlog'!$C18),IF('Sprint Backlog'!$P18="Hecho","✔","■"),"")</f>
        <v/>
      </c>
      <c r="J20" s="17" t="str">
        <f aca="false">IF(AND(9&gt;='Sprint Backlog'!$B18,9&lt;='Sprint Backlog'!$C18),IF('Sprint Backlog'!$P18="Hecho","✔","■"),"")</f>
        <v/>
      </c>
      <c r="K20" s="17" t="str">
        <f aca="false">IF(AND(10&gt;='Sprint Backlog'!$B18,10&lt;='Sprint Backlog'!$C18),IF('Sprint Backlog'!$P18="Hecho","✔","■"),"")</f>
        <v/>
      </c>
      <c r="L20" s="17" t="str">
        <f aca="false">IF(AND(11&gt;='Sprint Backlog'!$B18,11&lt;='Sprint Backlog'!$C18),IF('Sprint Backlog'!$P18="Hecho","✔","■"),"")</f>
        <v/>
      </c>
      <c r="M20" s="17" t="str">
        <f aca="false">IF(AND(12&gt;='Sprint Backlog'!$B18,12&lt;='Sprint Backlog'!$C18),IF('Sprint Backlog'!$P18="Hecho","✔","■"),"")</f>
        <v/>
      </c>
      <c r="N20" s="17" t="str">
        <f aca="false">IF(AND(13&gt;='Sprint Backlog'!$B18,13&lt;='Sprint Backlog'!$C18),IF('Sprint Backlog'!$P18="Hecho","✔","■"),"")</f>
        <v/>
      </c>
      <c r="O20" s="17" t="str">
        <f aca="false">IF(AND(14&gt;='Sprint Backlog'!$B18,14&lt;='Sprint Backlog'!$C18),IF('Sprint Backlog'!$P18="Hecho","✔","■"),"")</f>
        <v/>
      </c>
      <c r="P20" s="17" t="str">
        <f aca="false">IF(AND(15&gt;='Sprint Backlog'!$B18,15&lt;='Sprint Backlog'!$C18),IF('Sprint Backlog'!$P18="Hecho","✔","■"),"")</f>
        <v/>
      </c>
    </row>
    <row r="21" customFormat="false" ht="15.75" hidden="false" customHeight="true" outlineLevel="0" collapsed="false">
      <c r="A21" s="16" t="str">
        <f aca="false">'Sprint Backlog'!D19</f>
        <v>HU-008</v>
      </c>
      <c r="B21" s="16" t="str">
        <f aca="false">'Sprint Backlog'!G19</f>
        <v>Generar ítem con clave y retroalimentación</v>
      </c>
      <c r="C21" s="16" t="str">
        <f aca="false">'Sprint Backlog'!K19</f>
        <v>Silvana Diaz</v>
      </c>
      <c r="D21" s="5" t="n">
        <f aca="false">'Sprint Backlog'!J19</f>
        <v>5</v>
      </c>
      <c r="E21" s="17" t="str">
        <f aca="false">IF(AND(4&gt;='Sprint Backlog'!$B19,4&lt;='Sprint Backlog'!$C19),IF('Sprint Backlog'!$P19="Hecho","✔","■"),"")</f>
        <v/>
      </c>
      <c r="F21" s="17" t="str">
        <f aca="false">IF(AND(5&gt;='Sprint Backlog'!$B19,5&lt;='Sprint Backlog'!$C19),IF('Sprint Backlog'!$P19="Hecho","✔","■"),"")</f>
        <v/>
      </c>
      <c r="G21" s="17" t="str">
        <f aca="false">IF(AND(6&gt;='Sprint Backlog'!$B19,6&lt;='Sprint Backlog'!$C19),IF('Sprint Backlog'!$P19="Hecho","✔","■"),"")</f>
        <v>■</v>
      </c>
      <c r="H21" s="17" t="str">
        <f aca="false">IF(AND(7&gt;='Sprint Backlog'!$B19,7&lt;='Sprint Backlog'!$C19),IF('Sprint Backlog'!$P19="Hecho","✔","■"),"")</f>
        <v>■</v>
      </c>
      <c r="I21" s="17" t="str">
        <f aca="false">IF(AND(8&gt;='Sprint Backlog'!$B19,8&lt;='Sprint Backlog'!$C19),IF('Sprint Backlog'!$P19="Hecho","✔","■"),"")</f>
        <v/>
      </c>
      <c r="J21" s="17" t="str">
        <f aca="false">IF(AND(9&gt;='Sprint Backlog'!$B19,9&lt;='Sprint Backlog'!$C19),IF('Sprint Backlog'!$P19="Hecho","✔","■"),"")</f>
        <v/>
      </c>
      <c r="K21" s="17" t="str">
        <f aca="false">IF(AND(10&gt;='Sprint Backlog'!$B19,10&lt;='Sprint Backlog'!$C19),IF('Sprint Backlog'!$P19="Hecho","✔","■"),"")</f>
        <v/>
      </c>
      <c r="L21" s="17" t="str">
        <f aca="false">IF(AND(11&gt;='Sprint Backlog'!$B19,11&lt;='Sprint Backlog'!$C19),IF('Sprint Backlog'!$P19="Hecho","✔","■"),"")</f>
        <v/>
      </c>
      <c r="M21" s="17" t="str">
        <f aca="false">IF(AND(12&gt;='Sprint Backlog'!$B19,12&lt;='Sprint Backlog'!$C19),IF('Sprint Backlog'!$P19="Hecho","✔","■"),"")</f>
        <v/>
      </c>
      <c r="N21" s="17" t="str">
        <f aca="false">IF(AND(13&gt;='Sprint Backlog'!$B19,13&lt;='Sprint Backlog'!$C19),IF('Sprint Backlog'!$P19="Hecho","✔","■"),"")</f>
        <v/>
      </c>
      <c r="O21" s="17" t="str">
        <f aca="false">IF(AND(14&gt;='Sprint Backlog'!$B19,14&lt;='Sprint Backlog'!$C19),IF('Sprint Backlog'!$P19="Hecho","✔","■"),"")</f>
        <v/>
      </c>
      <c r="P21" s="17" t="str">
        <f aca="false">IF(AND(15&gt;='Sprint Backlog'!$B19,15&lt;='Sprint Backlog'!$C19),IF('Sprint Backlog'!$P19="Hecho","✔","■"),"")</f>
        <v/>
      </c>
    </row>
    <row r="22" customFormat="false" ht="15.75" hidden="false" customHeight="true" outlineLevel="0" collapsed="false">
      <c r="A22" s="16" t="str">
        <f aca="false">'Sprint Backlog'!D20</f>
        <v>HU-009</v>
      </c>
      <c r="B22" s="16" t="str">
        <f aca="false">'Sprint Backlog'!G20</f>
        <v>Distractores por vecindad vectorial</v>
      </c>
      <c r="C22" s="16" t="str">
        <f aca="false">'Sprint Backlog'!K20</f>
        <v>Silvana Diaz</v>
      </c>
      <c r="D22" s="5" t="n">
        <f aca="false">'Sprint Backlog'!J20</f>
        <v>5</v>
      </c>
      <c r="E22" s="17" t="str">
        <f aca="false">IF(AND(4&gt;='Sprint Backlog'!$B20,4&lt;='Sprint Backlog'!$C20),IF('Sprint Backlog'!$P20="Hecho","✔","■"),"")</f>
        <v/>
      </c>
      <c r="F22" s="17" t="str">
        <f aca="false">IF(AND(5&gt;='Sprint Backlog'!$B20,5&lt;='Sprint Backlog'!$C20),IF('Sprint Backlog'!$P20="Hecho","✔","■"),"")</f>
        <v/>
      </c>
      <c r="G22" s="17" t="str">
        <f aca="false">IF(AND(6&gt;='Sprint Backlog'!$B20,6&lt;='Sprint Backlog'!$C20),IF('Sprint Backlog'!$P20="Hecho","✔","■"),"")</f>
        <v>■</v>
      </c>
      <c r="H22" s="17" t="str">
        <f aca="false">IF(AND(7&gt;='Sprint Backlog'!$B20,7&lt;='Sprint Backlog'!$C20),IF('Sprint Backlog'!$P20="Hecho","✔","■"),"")</f>
        <v>■</v>
      </c>
      <c r="I22" s="17" t="str">
        <f aca="false">IF(AND(8&gt;='Sprint Backlog'!$B20,8&lt;='Sprint Backlog'!$C20),IF('Sprint Backlog'!$P20="Hecho","✔","■"),"")</f>
        <v/>
      </c>
      <c r="J22" s="17" t="str">
        <f aca="false">IF(AND(9&gt;='Sprint Backlog'!$B20,9&lt;='Sprint Backlog'!$C20),IF('Sprint Backlog'!$P20="Hecho","✔","■"),"")</f>
        <v/>
      </c>
      <c r="K22" s="17" t="str">
        <f aca="false">IF(AND(10&gt;='Sprint Backlog'!$B20,10&lt;='Sprint Backlog'!$C20),IF('Sprint Backlog'!$P20="Hecho","✔","■"),"")</f>
        <v/>
      </c>
      <c r="L22" s="17" t="str">
        <f aca="false">IF(AND(11&gt;='Sprint Backlog'!$B20,11&lt;='Sprint Backlog'!$C20),IF('Sprint Backlog'!$P20="Hecho","✔","■"),"")</f>
        <v/>
      </c>
      <c r="M22" s="17" t="str">
        <f aca="false">IF(AND(12&gt;='Sprint Backlog'!$B20,12&lt;='Sprint Backlog'!$C20),IF('Sprint Backlog'!$P20="Hecho","✔","■"),"")</f>
        <v/>
      </c>
      <c r="N22" s="17" t="str">
        <f aca="false">IF(AND(13&gt;='Sprint Backlog'!$B20,13&lt;='Sprint Backlog'!$C20),IF('Sprint Backlog'!$P20="Hecho","✔","■"),"")</f>
        <v/>
      </c>
      <c r="O22" s="17" t="str">
        <f aca="false">IF(AND(14&gt;='Sprint Backlog'!$B20,14&lt;='Sprint Backlog'!$C20),IF('Sprint Backlog'!$P20="Hecho","✔","■"),"")</f>
        <v/>
      </c>
      <c r="P22" s="17" t="str">
        <f aca="false">IF(AND(15&gt;='Sprint Backlog'!$B20,15&lt;='Sprint Backlog'!$C20),IF('Sprint Backlog'!$P20="Hecho","✔","■"),"")</f>
        <v/>
      </c>
    </row>
    <row r="23" customFormat="false" ht="15.75" hidden="false" customHeight="true" outlineLevel="0" collapsed="false">
      <c r="A23" s="16" t="str">
        <f aca="false">'Sprint Backlog'!D21</f>
        <v>HU-010</v>
      </c>
      <c r="B23" s="16" t="str">
        <f aca="false">'Sprint Backlog'!G21</f>
        <v>Panel de revisión docente con evidencia</v>
      </c>
      <c r="C23" s="16" t="str">
        <f aca="false">'Sprint Backlog'!K21</f>
        <v>Silvana Diaz</v>
      </c>
      <c r="D23" s="5" t="n">
        <f aca="false">'Sprint Backlog'!J21</f>
        <v>5</v>
      </c>
      <c r="E23" s="17" t="str">
        <f aca="false">IF(AND(4&gt;='Sprint Backlog'!$B21,4&lt;='Sprint Backlog'!$C21),IF('Sprint Backlog'!$P21="Hecho","✔","■"),"")</f>
        <v/>
      </c>
      <c r="F23" s="17" t="str">
        <f aca="false">IF(AND(5&gt;='Sprint Backlog'!$B21,5&lt;='Sprint Backlog'!$C21),IF('Sprint Backlog'!$P21="Hecho","✔","■"),"")</f>
        <v/>
      </c>
      <c r="G23" s="17" t="str">
        <f aca="false">IF(AND(6&gt;='Sprint Backlog'!$B21,6&lt;='Sprint Backlog'!$C21),IF('Sprint Backlog'!$P21="Hecho","✔","■"),"")</f>
        <v>■</v>
      </c>
      <c r="H23" s="17" t="str">
        <f aca="false">IF(AND(7&gt;='Sprint Backlog'!$B21,7&lt;='Sprint Backlog'!$C21),IF('Sprint Backlog'!$P21="Hecho","✔","■"),"")</f>
        <v>■</v>
      </c>
      <c r="I23" s="17" t="str">
        <f aca="false">IF(AND(8&gt;='Sprint Backlog'!$B21,8&lt;='Sprint Backlog'!$C21),IF('Sprint Backlog'!$P21="Hecho","✔","■"),"")</f>
        <v/>
      </c>
      <c r="J23" s="17" t="str">
        <f aca="false">IF(AND(9&gt;='Sprint Backlog'!$B21,9&lt;='Sprint Backlog'!$C21),IF('Sprint Backlog'!$P21="Hecho","✔","■"),"")</f>
        <v/>
      </c>
      <c r="K23" s="17" t="str">
        <f aca="false">IF(AND(10&gt;='Sprint Backlog'!$B21,10&lt;='Sprint Backlog'!$C21),IF('Sprint Backlog'!$P21="Hecho","✔","■"),"")</f>
        <v/>
      </c>
      <c r="L23" s="17" t="str">
        <f aca="false">IF(AND(11&gt;='Sprint Backlog'!$B21,11&lt;='Sprint Backlog'!$C21),IF('Sprint Backlog'!$P21="Hecho","✔","■"),"")</f>
        <v/>
      </c>
      <c r="M23" s="17" t="str">
        <f aca="false">IF(AND(12&gt;='Sprint Backlog'!$B21,12&lt;='Sprint Backlog'!$C21),IF('Sprint Backlog'!$P21="Hecho","✔","■"),"")</f>
        <v/>
      </c>
      <c r="N23" s="17" t="str">
        <f aca="false">IF(AND(13&gt;='Sprint Backlog'!$B21,13&lt;='Sprint Backlog'!$C21),IF('Sprint Backlog'!$P21="Hecho","✔","■"),"")</f>
        <v/>
      </c>
      <c r="O23" s="17" t="str">
        <f aca="false">IF(AND(14&gt;='Sprint Backlog'!$B21,14&lt;='Sprint Backlog'!$C21),IF('Sprint Backlog'!$P21="Hecho","✔","■"),"")</f>
        <v/>
      </c>
      <c r="P23" s="17" t="str">
        <f aca="false">IF(AND(15&gt;='Sprint Backlog'!$B21,15&lt;='Sprint Backlog'!$C21),IF('Sprint Backlog'!$P21="Hecho","✔","■"),"")</f>
        <v/>
      </c>
    </row>
    <row r="24" customFormat="false" ht="15.75" hidden="false" customHeight="true" outlineLevel="0" collapsed="false">
      <c r="A24" s="16" t="str">
        <f aca="false">'Sprint Backlog'!D22</f>
        <v>DO-001</v>
      </c>
      <c r="B24" s="16" t="str">
        <f aca="false">'Sprint Backlog'!G22</f>
        <v>Demo del MVP y primeras métricas</v>
      </c>
      <c r="C24" s="16" t="str">
        <f aca="false">'Sprint Backlog'!K22</f>
        <v>Equipo completo</v>
      </c>
      <c r="D24" s="5" t="n">
        <f aca="false">'Sprint Backlog'!J22</f>
        <v>2</v>
      </c>
      <c r="E24" s="17" t="str">
        <f aca="false">IF(AND(4&gt;='Sprint Backlog'!$B22,4&lt;='Sprint Backlog'!$C22),IF('Sprint Backlog'!$P22="Hecho","✔","■"),"")</f>
        <v/>
      </c>
      <c r="F24" s="17" t="str">
        <f aca="false">IF(AND(5&gt;='Sprint Backlog'!$B22,5&lt;='Sprint Backlog'!$C22),IF('Sprint Backlog'!$P22="Hecho","✔","■"),"")</f>
        <v/>
      </c>
      <c r="G24" s="17" t="str">
        <f aca="false">IF(AND(6&gt;='Sprint Backlog'!$B22,6&lt;='Sprint Backlog'!$C22),IF('Sprint Backlog'!$P22="Hecho","✔","■"),"")</f>
        <v/>
      </c>
      <c r="H24" s="17" t="str">
        <f aca="false">IF(AND(7&gt;='Sprint Backlog'!$B22,7&lt;='Sprint Backlog'!$C22),IF('Sprint Backlog'!$P22="Hecho","✔","■"),"")</f>
        <v>■</v>
      </c>
      <c r="I24" s="17" t="str">
        <f aca="false">IF(AND(8&gt;='Sprint Backlog'!$B22,8&lt;='Sprint Backlog'!$C22),IF('Sprint Backlog'!$P22="Hecho","✔","■"),"")</f>
        <v/>
      </c>
      <c r="J24" s="17" t="str">
        <f aca="false">IF(AND(9&gt;='Sprint Backlog'!$B22,9&lt;='Sprint Backlog'!$C22),IF('Sprint Backlog'!$P22="Hecho","✔","■"),"")</f>
        <v/>
      </c>
      <c r="K24" s="17" t="str">
        <f aca="false">IF(AND(10&gt;='Sprint Backlog'!$B22,10&lt;='Sprint Backlog'!$C22),IF('Sprint Backlog'!$P22="Hecho","✔","■"),"")</f>
        <v/>
      </c>
      <c r="L24" s="17" t="str">
        <f aca="false">IF(AND(11&gt;='Sprint Backlog'!$B22,11&lt;='Sprint Backlog'!$C22),IF('Sprint Backlog'!$P22="Hecho","✔","■"),"")</f>
        <v/>
      </c>
      <c r="M24" s="17" t="str">
        <f aca="false">IF(AND(12&gt;='Sprint Backlog'!$B22,12&lt;='Sprint Backlog'!$C22),IF('Sprint Backlog'!$P22="Hecho","✔","■"),"")</f>
        <v/>
      </c>
      <c r="N24" s="17" t="str">
        <f aca="false">IF(AND(13&gt;='Sprint Backlog'!$B22,13&lt;='Sprint Backlog'!$C22),IF('Sprint Backlog'!$P22="Hecho","✔","■"),"")</f>
        <v/>
      </c>
      <c r="O24" s="17" t="str">
        <f aca="false">IF(AND(14&gt;='Sprint Backlog'!$B22,14&lt;='Sprint Backlog'!$C22),IF('Sprint Backlog'!$P22="Hecho","✔","■"),"")</f>
        <v/>
      </c>
      <c r="P24" s="17" t="str">
        <f aca="false">IF(AND(15&gt;='Sprint Backlog'!$B22,15&lt;='Sprint Backlog'!$C22),IF('Sprint Backlog'!$P22="Hecho","✔","■"),"")</f>
        <v/>
      </c>
    </row>
    <row r="25" customFormat="false" ht="15.75" hidden="false" customHeight="true" outlineLevel="0" collapsed="false">
      <c r="A25" s="16" t="str">
        <f aca="false">'Sprint Backlog'!D23</f>
        <v>BU-001</v>
      </c>
      <c r="B25" s="16" t="str">
        <f aca="false">'Sprint Backlog'!G23</f>
        <v>Defectos detectados en la Sprint Review 1</v>
      </c>
      <c r="C25" s="16" t="str">
        <f aca="false">'Sprint Backlog'!K23</f>
        <v>Equipo completo</v>
      </c>
      <c r="D25" s="5" t="n">
        <f aca="false">'Sprint Backlog'!J23</f>
        <v>3</v>
      </c>
      <c r="E25" s="17" t="str">
        <f aca="false">IF(AND(4&gt;='Sprint Backlog'!$B23,4&lt;='Sprint Backlog'!$C23),IF('Sprint Backlog'!$P23="Hecho","✔","■"),"")</f>
        <v/>
      </c>
      <c r="F25" s="17" t="str">
        <f aca="false">IF(AND(5&gt;='Sprint Backlog'!$B23,5&lt;='Sprint Backlog'!$C23),IF('Sprint Backlog'!$P23="Hecho","✔","■"),"")</f>
        <v/>
      </c>
      <c r="G25" s="17" t="str">
        <f aca="false">IF(AND(6&gt;='Sprint Backlog'!$B23,6&lt;='Sprint Backlog'!$C23),IF('Sprint Backlog'!$P23="Hecho","✔","■"),"")</f>
        <v/>
      </c>
      <c r="H25" s="17" t="str">
        <f aca="false">IF(AND(7&gt;='Sprint Backlog'!$B23,7&lt;='Sprint Backlog'!$C23),IF('Sprint Backlog'!$P23="Hecho","✔","■"),"")</f>
        <v/>
      </c>
      <c r="I25" s="17" t="str">
        <f aca="false">IF(AND(8&gt;='Sprint Backlog'!$B23,8&lt;='Sprint Backlog'!$C23),IF('Sprint Backlog'!$P23="Hecho","✔","■"),"")</f>
        <v>■</v>
      </c>
      <c r="J25" s="17" t="str">
        <f aca="false">IF(AND(9&gt;='Sprint Backlog'!$B23,9&lt;='Sprint Backlog'!$C23),IF('Sprint Backlog'!$P23="Hecho","✔","■"),"")</f>
        <v/>
      </c>
      <c r="K25" s="17" t="str">
        <f aca="false">IF(AND(10&gt;='Sprint Backlog'!$B23,10&lt;='Sprint Backlog'!$C23),IF('Sprint Backlog'!$P23="Hecho","✔","■"),"")</f>
        <v/>
      </c>
      <c r="L25" s="17" t="str">
        <f aca="false">IF(AND(11&gt;='Sprint Backlog'!$B23,11&lt;='Sprint Backlog'!$C23),IF('Sprint Backlog'!$P23="Hecho","✔","■"),"")</f>
        <v/>
      </c>
      <c r="M25" s="17" t="str">
        <f aca="false">IF(AND(12&gt;='Sprint Backlog'!$B23,12&lt;='Sprint Backlog'!$C23),IF('Sprint Backlog'!$P23="Hecho","✔","■"),"")</f>
        <v/>
      </c>
      <c r="N25" s="17" t="str">
        <f aca="false">IF(AND(13&gt;='Sprint Backlog'!$B23,13&lt;='Sprint Backlog'!$C23),IF('Sprint Backlog'!$P23="Hecho","✔","■"),"")</f>
        <v/>
      </c>
      <c r="O25" s="17" t="str">
        <f aca="false">IF(AND(14&gt;='Sprint Backlog'!$B23,14&lt;='Sprint Backlog'!$C23),IF('Sprint Backlog'!$P23="Hecho","✔","■"),"")</f>
        <v/>
      </c>
      <c r="P25" s="17" t="str">
        <f aca="false">IF(AND(15&gt;='Sprint Backlog'!$B23,15&lt;='Sprint Backlog'!$C23),IF('Sprint Backlog'!$P23="Hecho","✔","■"),"")</f>
        <v/>
      </c>
    </row>
    <row r="26" customFormat="false" ht="15.75" hidden="false" customHeight="true" outlineLevel="0" collapsed="false">
      <c r="A26" s="16" t="str">
        <f aca="false">'Sprint Backlog'!D24</f>
        <v>EN-005</v>
      </c>
      <c r="B26" s="16" t="str">
        <f aca="false">'Sprint Backlog'!G24</f>
        <v>Conjunto de evaluación de la recuperación</v>
      </c>
      <c r="C26" s="16" t="str">
        <f aca="false">'Sprint Backlog'!K24</f>
        <v>Yan Liu Dai</v>
      </c>
      <c r="D26" s="5" t="n">
        <f aca="false">'Sprint Backlog'!J24</f>
        <v>3</v>
      </c>
      <c r="E26" s="17" t="str">
        <f aca="false">IF(AND(4&gt;='Sprint Backlog'!$B24,4&lt;='Sprint Backlog'!$C24),IF('Sprint Backlog'!$P24="Hecho","✔","■"),"")</f>
        <v/>
      </c>
      <c r="F26" s="17" t="str">
        <f aca="false">IF(AND(5&gt;='Sprint Backlog'!$B24,5&lt;='Sprint Backlog'!$C24),IF('Sprint Backlog'!$P24="Hecho","✔","■"),"")</f>
        <v/>
      </c>
      <c r="G26" s="17" t="str">
        <f aca="false">IF(AND(6&gt;='Sprint Backlog'!$B24,6&lt;='Sprint Backlog'!$C24),IF('Sprint Backlog'!$P24="Hecho","✔","■"),"")</f>
        <v/>
      </c>
      <c r="H26" s="17" t="str">
        <f aca="false">IF(AND(7&gt;='Sprint Backlog'!$B24,7&lt;='Sprint Backlog'!$C24),IF('Sprint Backlog'!$P24="Hecho","✔","■"),"")</f>
        <v/>
      </c>
      <c r="I26" s="17" t="str">
        <f aca="false">IF(AND(8&gt;='Sprint Backlog'!$B24,8&lt;='Sprint Backlog'!$C24),IF('Sprint Backlog'!$P24="Hecho","✔","■"),"")</f>
        <v>■</v>
      </c>
      <c r="J26" s="17" t="str">
        <f aca="false">IF(AND(9&gt;='Sprint Backlog'!$B24,9&lt;='Sprint Backlog'!$C24),IF('Sprint Backlog'!$P24="Hecho","✔","■"),"")</f>
        <v/>
      </c>
      <c r="K26" s="17" t="str">
        <f aca="false">IF(AND(10&gt;='Sprint Backlog'!$B24,10&lt;='Sprint Backlog'!$C24),IF('Sprint Backlog'!$P24="Hecho","✔","■"),"")</f>
        <v/>
      </c>
      <c r="L26" s="17" t="str">
        <f aca="false">IF(AND(11&gt;='Sprint Backlog'!$B24,11&lt;='Sprint Backlog'!$C24),IF('Sprint Backlog'!$P24="Hecho","✔","■"),"")</f>
        <v/>
      </c>
      <c r="M26" s="17" t="str">
        <f aca="false">IF(AND(12&gt;='Sprint Backlog'!$B24,12&lt;='Sprint Backlog'!$C24),IF('Sprint Backlog'!$P24="Hecho","✔","■"),"")</f>
        <v/>
      </c>
      <c r="N26" s="17" t="str">
        <f aca="false">IF(AND(13&gt;='Sprint Backlog'!$B24,13&lt;='Sprint Backlog'!$C24),IF('Sprint Backlog'!$P24="Hecho","✔","■"),"")</f>
        <v/>
      </c>
      <c r="O26" s="17" t="str">
        <f aca="false">IF(AND(14&gt;='Sprint Backlog'!$B24,14&lt;='Sprint Backlog'!$C24),IF('Sprint Backlog'!$P24="Hecho","✔","■"),"")</f>
        <v/>
      </c>
      <c r="P26" s="17" t="str">
        <f aca="false">IF(AND(15&gt;='Sprint Backlog'!$B24,15&lt;='Sprint Backlog'!$C24),IF('Sprint Backlog'!$P24="Hecho","✔","■"),"")</f>
        <v/>
      </c>
    </row>
    <row r="27" customFormat="false" ht="15.75" hidden="false" customHeight="true" outlineLevel="0" collapsed="false">
      <c r="A27" s="16" t="str">
        <f aca="false">'Sprint Backlog'!D25</f>
        <v>EN-006</v>
      </c>
      <c r="B27" s="16" t="str">
        <f aca="false">'Sprint Backlog'!G25</f>
        <v>Registro de decisiones de revisión</v>
      </c>
      <c r="C27" s="16" t="str">
        <f aca="false">'Sprint Backlog'!K25</f>
        <v>Silvana Diaz</v>
      </c>
      <c r="D27" s="5" t="n">
        <f aca="false">'Sprint Backlog'!J25</f>
        <v>2</v>
      </c>
      <c r="E27" s="17" t="str">
        <f aca="false">IF(AND(4&gt;='Sprint Backlog'!$B25,4&lt;='Sprint Backlog'!$C25),IF('Sprint Backlog'!$P25="Hecho","✔","■"),"")</f>
        <v/>
      </c>
      <c r="F27" s="17" t="str">
        <f aca="false">IF(AND(5&gt;='Sprint Backlog'!$B25,5&lt;='Sprint Backlog'!$C25),IF('Sprint Backlog'!$P25="Hecho","✔","■"),"")</f>
        <v/>
      </c>
      <c r="G27" s="17" t="str">
        <f aca="false">IF(AND(6&gt;='Sprint Backlog'!$B25,6&lt;='Sprint Backlog'!$C25),IF('Sprint Backlog'!$P25="Hecho","✔","■"),"")</f>
        <v/>
      </c>
      <c r="H27" s="17" t="str">
        <f aca="false">IF(AND(7&gt;='Sprint Backlog'!$B25,7&lt;='Sprint Backlog'!$C25),IF('Sprint Backlog'!$P25="Hecho","✔","■"),"")</f>
        <v/>
      </c>
      <c r="I27" s="17" t="str">
        <f aca="false">IF(AND(8&gt;='Sprint Backlog'!$B25,8&lt;='Sprint Backlog'!$C25),IF('Sprint Backlog'!$P25="Hecho","✔","■"),"")</f>
        <v>■</v>
      </c>
      <c r="J27" s="17" t="str">
        <f aca="false">IF(AND(9&gt;='Sprint Backlog'!$B25,9&lt;='Sprint Backlog'!$C25),IF('Sprint Backlog'!$P25="Hecho","✔","■"),"")</f>
        <v/>
      </c>
      <c r="K27" s="17" t="str">
        <f aca="false">IF(AND(10&gt;='Sprint Backlog'!$B25,10&lt;='Sprint Backlog'!$C25),IF('Sprint Backlog'!$P25="Hecho","✔","■"),"")</f>
        <v/>
      </c>
      <c r="L27" s="17" t="str">
        <f aca="false">IF(AND(11&gt;='Sprint Backlog'!$B25,11&lt;='Sprint Backlog'!$C25),IF('Sprint Backlog'!$P25="Hecho","✔","■"),"")</f>
        <v/>
      </c>
      <c r="M27" s="17" t="str">
        <f aca="false">IF(AND(12&gt;='Sprint Backlog'!$B25,12&lt;='Sprint Backlog'!$C25),IF('Sprint Backlog'!$P25="Hecho","✔","■"),"")</f>
        <v/>
      </c>
      <c r="N27" s="17" t="str">
        <f aca="false">IF(AND(13&gt;='Sprint Backlog'!$B25,13&lt;='Sprint Backlog'!$C25),IF('Sprint Backlog'!$P25="Hecho","✔","■"),"")</f>
        <v/>
      </c>
      <c r="O27" s="17" t="str">
        <f aca="false">IF(AND(14&gt;='Sprint Backlog'!$B25,14&lt;='Sprint Backlog'!$C25),IF('Sprint Backlog'!$P25="Hecho","✔","■"),"")</f>
        <v/>
      </c>
      <c r="P27" s="17" t="str">
        <f aca="false">IF(AND(15&gt;='Sprint Backlog'!$B25,15&lt;='Sprint Backlog'!$C25),IF('Sprint Backlog'!$P25="Hecho","✔","■"),"")</f>
        <v/>
      </c>
    </row>
    <row r="28" customFormat="false" ht="15.75" hidden="false" customHeight="true" outlineLevel="0" collapsed="false">
      <c r="A28" s="16" t="str">
        <f aca="false">'Sprint Backlog'!D26</f>
        <v>HU-011</v>
      </c>
      <c r="B28" s="16" t="str">
        <f aca="false">'Sprint Backlog'!G26</f>
        <v>Etapa Explain: explicaciones citadas</v>
      </c>
      <c r="C28" s="16" t="str">
        <f aca="false">'Sprint Backlog'!K26</f>
        <v>Juan Alegria</v>
      </c>
      <c r="D28" s="5" t="n">
        <f aca="false">'Sprint Backlog'!J26</f>
        <v>5</v>
      </c>
      <c r="E28" s="17" t="str">
        <f aca="false">IF(AND(4&gt;='Sprint Backlog'!$B26,4&lt;='Sprint Backlog'!$C26),IF('Sprint Backlog'!$P26="Hecho","✔","■"),"")</f>
        <v/>
      </c>
      <c r="F28" s="17" t="str">
        <f aca="false">IF(AND(5&gt;='Sprint Backlog'!$B26,5&lt;='Sprint Backlog'!$C26),IF('Sprint Backlog'!$P26="Hecho","✔","■"),"")</f>
        <v/>
      </c>
      <c r="G28" s="17" t="str">
        <f aca="false">IF(AND(6&gt;='Sprint Backlog'!$B26,6&lt;='Sprint Backlog'!$C26),IF('Sprint Backlog'!$P26="Hecho","✔","■"),"")</f>
        <v/>
      </c>
      <c r="H28" s="17" t="str">
        <f aca="false">IF(AND(7&gt;='Sprint Backlog'!$B26,7&lt;='Sprint Backlog'!$C26),IF('Sprint Backlog'!$P26="Hecho","✔","■"),"")</f>
        <v/>
      </c>
      <c r="I28" s="17" t="str">
        <f aca="false">IF(AND(8&gt;='Sprint Backlog'!$B26,8&lt;='Sprint Backlog'!$C26),IF('Sprint Backlog'!$P26="Hecho","✔","■"),"")</f>
        <v>■</v>
      </c>
      <c r="J28" s="17" t="str">
        <f aca="false">IF(AND(9&gt;='Sprint Backlog'!$B26,9&lt;='Sprint Backlog'!$C26),IF('Sprint Backlog'!$P26="Hecho","✔","■"),"")</f>
        <v>■</v>
      </c>
      <c r="K28" s="17" t="str">
        <f aca="false">IF(AND(10&gt;='Sprint Backlog'!$B26,10&lt;='Sprint Backlog'!$C26),IF('Sprint Backlog'!$P26="Hecho","✔","■"),"")</f>
        <v/>
      </c>
      <c r="L28" s="17" t="str">
        <f aca="false">IF(AND(11&gt;='Sprint Backlog'!$B26,11&lt;='Sprint Backlog'!$C26),IF('Sprint Backlog'!$P26="Hecho","✔","■"),"")</f>
        <v/>
      </c>
      <c r="M28" s="17" t="str">
        <f aca="false">IF(AND(12&gt;='Sprint Backlog'!$B26,12&lt;='Sprint Backlog'!$C26),IF('Sprint Backlog'!$P26="Hecho","✔","■"),"")</f>
        <v/>
      </c>
      <c r="N28" s="17" t="str">
        <f aca="false">IF(AND(13&gt;='Sprint Backlog'!$B26,13&lt;='Sprint Backlog'!$C26),IF('Sprint Backlog'!$P26="Hecho","✔","■"),"")</f>
        <v/>
      </c>
      <c r="O28" s="17" t="str">
        <f aca="false">IF(AND(14&gt;='Sprint Backlog'!$B26,14&lt;='Sprint Backlog'!$C26),IF('Sprint Backlog'!$P26="Hecho","✔","■"),"")</f>
        <v/>
      </c>
      <c r="P28" s="17" t="str">
        <f aca="false">IF(AND(15&gt;='Sprint Backlog'!$B26,15&lt;='Sprint Backlog'!$C26),IF('Sprint Backlog'!$P26="Hecho","✔","■"),"")</f>
        <v/>
      </c>
    </row>
    <row r="29" customFormat="false" ht="15.75" hidden="false" customHeight="true" outlineLevel="0" collapsed="false">
      <c r="A29" s="16" t="str">
        <f aca="false">'Sprint Backlog'!D27</f>
        <v>HU-012</v>
      </c>
      <c r="B29" s="16" t="str">
        <f aca="false">'Sprint Backlog'!G27</f>
        <v>Etapa Engage: disparadores y sondeo de ideas previas</v>
      </c>
      <c r="C29" s="16" t="str">
        <f aca="false">'Sprint Backlog'!K27</f>
        <v>Juan Alegria</v>
      </c>
      <c r="D29" s="5" t="n">
        <f aca="false">'Sprint Backlog'!J27</f>
        <v>5</v>
      </c>
      <c r="E29" s="17" t="str">
        <f aca="false">IF(AND(4&gt;='Sprint Backlog'!$B27,4&lt;='Sprint Backlog'!$C27),IF('Sprint Backlog'!$P27="Hecho","✔","■"),"")</f>
        <v/>
      </c>
      <c r="F29" s="17" t="str">
        <f aca="false">IF(AND(5&gt;='Sprint Backlog'!$B27,5&lt;='Sprint Backlog'!$C27),IF('Sprint Backlog'!$P27="Hecho","✔","■"),"")</f>
        <v/>
      </c>
      <c r="G29" s="17" t="str">
        <f aca="false">IF(AND(6&gt;='Sprint Backlog'!$B27,6&lt;='Sprint Backlog'!$C27),IF('Sprint Backlog'!$P27="Hecho","✔","■"),"")</f>
        <v/>
      </c>
      <c r="H29" s="17" t="str">
        <f aca="false">IF(AND(7&gt;='Sprint Backlog'!$B27,7&lt;='Sprint Backlog'!$C27),IF('Sprint Backlog'!$P27="Hecho","✔","■"),"")</f>
        <v/>
      </c>
      <c r="I29" s="17" t="str">
        <f aca="false">IF(AND(8&gt;='Sprint Backlog'!$B27,8&lt;='Sprint Backlog'!$C27),IF('Sprint Backlog'!$P27="Hecho","✔","■"),"")</f>
        <v>■</v>
      </c>
      <c r="J29" s="17" t="str">
        <f aca="false">IF(AND(9&gt;='Sprint Backlog'!$B27,9&lt;='Sprint Backlog'!$C27),IF('Sprint Backlog'!$P27="Hecho","✔","■"),"")</f>
        <v>■</v>
      </c>
      <c r="K29" s="17" t="str">
        <f aca="false">IF(AND(10&gt;='Sprint Backlog'!$B27,10&lt;='Sprint Backlog'!$C27),IF('Sprint Backlog'!$P27="Hecho","✔","■"),"")</f>
        <v/>
      </c>
      <c r="L29" s="17" t="str">
        <f aca="false">IF(AND(11&gt;='Sprint Backlog'!$B27,11&lt;='Sprint Backlog'!$C27),IF('Sprint Backlog'!$P27="Hecho","✔","■"),"")</f>
        <v/>
      </c>
      <c r="M29" s="17" t="str">
        <f aca="false">IF(AND(12&gt;='Sprint Backlog'!$B27,12&lt;='Sprint Backlog'!$C27),IF('Sprint Backlog'!$P27="Hecho","✔","■"),"")</f>
        <v/>
      </c>
      <c r="N29" s="17" t="str">
        <f aca="false">IF(AND(13&gt;='Sprint Backlog'!$B27,13&lt;='Sprint Backlog'!$C27),IF('Sprint Backlog'!$P27="Hecho","✔","■"),"")</f>
        <v/>
      </c>
      <c r="O29" s="17" t="str">
        <f aca="false">IF(AND(14&gt;='Sprint Backlog'!$B27,14&lt;='Sprint Backlog'!$C27),IF('Sprint Backlog'!$P27="Hecho","✔","■"),"")</f>
        <v/>
      </c>
      <c r="P29" s="17" t="str">
        <f aca="false">IF(AND(15&gt;='Sprint Backlog'!$B27,15&lt;='Sprint Backlog'!$C27),IF('Sprint Backlog'!$P27="Hecho","✔","■"),"")</f>
        <v/>
      </c>
    </row>
    <row r="30" customFormat="false" ht="15.75" hidden="false" customHeight="true" outlineLevel="0" collapsed="false">
      <c r="A30" s="16" t="str">
        <f aca="false">'Sprint Backlog'!D28</f>
        <v>HU-013</v>
      </c>
      <c r="B30" s="16" t="str">
        <f aca="false">'Sprint Backlog'!G28</f>
        <v>Etapa Explore: guías de indagación y casos</v>
      </c>
      <c r="C30" s="16" t="str">
        <f aca="false">'Sprint Backlog'!K28</f>
        <v>Yan Liu Dai</v>
      </c>
      <c r="D30" s="5" t="n">
        <f aca="false">'Sprint Backlog'!J28</f>
        <v>5</v>
      </c>
      <c r="E30" s="17" t="str">
        <f aca="false">IF(AND(4&gt;='Sprint Backlog'!$B28,4&lt;='Sprint Backlog'!$C28),IF('Sprint Backlog'!$P28="Hecho","✔","■"),"")</f>
        <v/>
      </c>
      <c r="F30" s="17" t="str">
        <f aca="false">IF(AND(5&gt;='Sprint Backlog'!$B28,5&lt;='Sprint Backlog'!$C28),IF('Sprint Backlog'!$P28="Hecho","✔","■"),"")</f>
        <v/>
      </c>
      <c r="G30" s="17" t="str">
        <f aca="false">IF(AND(6&gt;='Sprint Backlog'!$B28,6&lt;='Sprint Backlog'!$C28),IF('Sprint Backlog'!$P28="Hecho","✔","■"),"")</f>
        <v/>
      </c>
      <c r="H30" s="17" t="str">
        <f aca="false">IF(AND(7&gt;='Sprint Backlog'!$B28,7&lt;='Sprint Backlog'!$C28),IF('Sprint Backlog'!$P28="Hecho","✔","■"),"")</f>
        <v/>
      </c>
      <c r="I30" s="17" t="str">
        <f aca="false">IF(AND(8&gt;='Sprint Backlog'!$B28,8&lt;='Sprint Backlog'!$C28),IF('Sprint Backlog'!$P28="Hecho","✔","■"),"")</f>
        <v>■</v>
      </c>
      <c r="J30" s="17" t="str">
        <f aca="false">IF(AND(9&gt;='Sprint Backlog'!$B28,9&lt;='Sprint Backlog'!$C28),IF('Sprint Backlog'!$P28="Hecho","✔","■"),"")</f>
        <v>■</v>
      </c>
      <c r="K30" s="17" t="str">
        <f aca="false">IF(AND(10&gt;='Sprint Backlog'!$B28,10&lt;='Sprint Backlog'!$C28),IF('Sprint Backlog'!$P28="Hecho","✔","■"),"")</f>
        <v/>
      </c>
      <c r="L30" s="17" t="str">
        <f aca="false">IF(AND(11&gt;='Sprint Backlog'!$B28,11&lt;='Sprint Backlog'!$C28),IF('Sprint Backlog'!$P28="Hecho","✔","■"),"")</f>
        <v/>
      </c>
      <c r="M30" s="17" t="str">
        <f aca="false">IF(AND(12&gt;='Sprint Backlog'!$B28,12&lt;='Sprint Backlog'!$C28),IF('Sprint Backlog'!$P28="Hecho","✔","■"),"")</f>
        <v/>
      </c>
      <c r="N30" s="17" t="str">
        <f aca="false">IF(AND(13&gt;='Sprint Backlog'!$B28,13&lt;='Sprint Backlog'!$C28),IF('Sprint Backlog'!$P28="Hecho","✔","■"),"")</f>
        <v/>
      </c>
      <c r="O30" s="17" t="str">
        <f aca="false">IF(AND(14&gt;='Sprint Backlog'!$B28,14&lt;='Sprint Backlog'!$C28),IF('Sprint Backlog'!$P28="Hecho","✔","■"),"")</f>
        <v/>
      </c>
      <c r="P30" s="17" t="str">
        <f aca="false">IF(AND(15&gt;='Sprint Backlog'!$B28,15&lt;='Sprint Backlog'!$C28),IF('Sprint Backlog'!$P28="Hecho","✔","■"),"")</f>
        <v/>
      </c>
    </row>
    <row r="31" customFormat="false" ht="15.75" hidden="false" customHeight="true" outlineLevel="0" collapsed="false">
      <c r="A31" s="16" t="str">
        <f aca="false">'Sprint Backlog'!D29</f>
        <v>HU-014</v>
      </c>
      <c r="B31" s="16" t="str">
        <f aca="false">'Sprint Backlog'!G29</f>
        <v>Plan de la secuencia 5E por unidad</v>
      </c>
      <c r="C31" s="16" t="str">
        <f aca="false">'Sprint Backlog'!K29</f>
        <v>Juan Alegria</v>
      </c>
      <c r="D31" s="5" t="n">
        <f aca="false">'Sprint Backlog'!J29</f>
        <v>5</v>
      </c>
      <c r="E31" s="17" t="str">
        <f aca="false">IF(AND(4&gt;='Sprint Backlog'!$B29,4&lt;='Sprint Backlog'!$C29),IF('Sprint Backlog'!$P29="Hecho","✔","■"),"")</f>
        <v/>
      </c>
      <c r="F31" s="17" t="str">
        <f aca="false">IF(AND(5&gt;='Sprint Backlog'!$B29,5&lt;='Sprint Backlog'!$C29),IF('Sprint Backlog'!$P29="Hecho","✔","■"),"")</f>
        <v/>
      </c>
      <c r="G31" s="17" t="str">
        <f aca="false">IF(AND(6&gt;='Sprint Backlog'!$B29,6&lt;='Sprint Backlog'!$C29),IF('Sprint Backlog'!$P29="Hecho","✔","■"),"")</f>
        <v/>
      </c>
      <c r="H31" s="17" t="str">
        <f aca="false">IF(AND(7&gt;='Sprint Backlog'!$B29,7&lt;='Sprint Backlog'!$C29),IF('Sprint Backlog'!$P29="Hecho","✔","■"),"")</f>
        <v/>
      </c>
      <c r="I31" s="17" t="str">
        <f aca="false">IF(AND(8&gt;='Sprint Backlog'!$B29,8&lt;='Sprint Backlog'!$C29),IF('Sprint Backlog'!$P29="Hecho","✔","■"),"")</f>
        <v>■</v>
      </c>
      <c r="J31" s="17" t="str">
        <f aca="false">IF(AND(9&gt;='Sprint Backlog'!$B29,9&lt;='Sprint Backlog'!$C29),IF('Sprint Backlog'!$P29="Hecho","✔","■"),"")</f>
        <v>■</v>
      </c>
      <c r="K31" s="17" t="str">
        <f aca="false">IF(AND(10&gt;='Sprint Backlog'!$B29,10&lt;='Sprint Backlog'!$C29),IF('Sprint Backlog'!$P29="Hecho","✔","■"),"")</f>
        <v/>
      </c>
      <c r="L31" s="17" t="str">
        <f aca="false">IF(AND(11&gt;='Sprint Backlog'!$B29,11&lt;='Sprint Backlog'!$C29),IF('Sprint Backlog'!$P29="Hecho","✔","■"),"")</f>
        <v/>
      </c>
      <c r="M31" s="17" t="str">
        <f aca="false">IF(AND(12&gt;='Sprint Backlog'!$B29,12&lt;='Sprint Backlog'!$C29),IF('Sprint Backlog'!$P29="Hecho","✔","■"),"")</f>
        <v/>
      </c>
      <c r="N31" s="17" t="str">
        <f aca="false">IF(AND(13&gt;='Sprint Backlog'!$B29,13&lt;='Sprint Backlog'!$C29),IF('Sprint Backlog'!$P29="Hecho","✔","■"),"")</f>
        <v/>
      </c>
      <c r="O31" s="17" t="str">
        <f aca="false">IF(AND(14&gt;='Sprint Backlog'!$B29,14&lt;='Sprint Backlog'!$C29),IF('Sprint Backlog'!$P29="Hecho","✔","■"),"")</f>
        <v/>
      </c>
      <c r="P31" s="17" t="str">
        <f aca="false">IF(AND(15&gt;='Sprint Backlog'!$B29,15&lt;='Sprint Backlog'!$C29),IF('Sprint Backlog'!$P29="Hecho","✔","■"),"")</f>
        <v/>
      </c>
    </row>
    <row r="32" customFormat="false" ht="15.75" hidden="false" customHeight="true" outlineLevel="0" collapsed="false">
      <c r="A32" s="16" t="str">
        <f aca="false">'Sprint Backlog'!D30</f>
        <v>HU-015</v>
      </c>
      <c r="B32" s="16" t="str">
        <f aca="false">'Sprint Backlog'!G30</f>
        <v>Filtro de fiabilidad y control de similitud</v>
      </c>
      <c r="C32" s="16" t="str">
        <f aca="false">'Sprint Backlog'!K30</f>
        <v>Silvana Diaz</v>
      </c>
      <c r="D32" s="5" t="n">
        <f aca="false">'Sprint Backlog'!J30</f>
        <v>3</v>
      </c>
      <c r="E32" s="17" t="str">
        <f aca="false">IF(AND(4&gt;='Sprint Backlog'!$B30,4&lt;='Sprint Backlog'!$C30),IF('Sprint Backlog'!$P30="Hecho","✔","■"),"")</f>
        <v/>
      </c>
      <c r="F32" s="17" t="str">
        <f aca="false">IF(AND(5&gt;='Sprint Backlog'!$B30,5&lt;='Sprint Backlog'!$C30),IF('Sprint Backlog'!$P30="Hecho","✔","■"),"")</f>
        <v/>
      </c>
      <c r="G32" s="17" t="str">
        <f aca="false">IF(AND(6&gt;='Sprint Backlog'!$B30,6&lt;='Sprint Backlog'!$C30),IF('Sprint Backlog'!$P30="Hecho","✔","■"),"")</f>
        <v/>
      </c>
      <c r="H32" s="17" t="str">
        <f aca="false">IF(AND(7&gt;='Sprint Backlog'!$B30,7&lt;='Sprint Backlog'!$C30),IF('Sprint Backlog'!$P30="Hecho","✔","■"),"")</f>
        <v/>
      </c>
      <c r="I32" s="17" t="str">
        <f aca="false">IF(AND(8&gt;='Sprint Backlog'!$B30,8&lt;='Sprint Backlog'!$C30),IF('Sprint Backlog'!$P30="Hecho","✔","■"),"")</f>
        <v/>
      </c>
      <c r="J32" s="17" t="str">
        <f aca="false">IF(AND(9&gt;='Sprint Backlog'!$B30,9&lt;='Sprint Backlog'!$C30),IF('Sprint Backlog'!$P30="Hecho","✔","■"),"")</f>
        <v>■</v>
      </c>
      <c r="K32" s="17" t="str">
        <f aca="false">IF(AND(10&gt;='Sprint Backlog'!$B30,10&lt;='Sprint Backlog'!$C30),IF('Sprint Backlog'!$P30="Hecho","✔","■"),"")</f>
        <v/>
      </c>
      <c r="L32" s="17" t="str">
        <f aca="false">IF(AND(11&gt;='Sprint Backlog'!$B30,11&lt;='Sprint Backlog'!$C30),IF('Sprint Backlog'!$P30="Hecho","✔","■"),"")</f>
        <v/>
      </c>
      <c r="M32" s="17" t="str">
        <f aca="false">IF(AND(12&gt;='Sprint Backlog'!$B30,12&lt;='Sprint Backlog'!$C30),IF('Sprint Backlog'!$P30="Hecho","✔","■"),"")</f>
        <v/>
      </c>
      <c r="N32" s="17" t="str">
        <f aca="false">IF(AND(13&gt;='Sprint Backlog'!$B30,13&lt;='Sprint Backlog'!$C30),IF('Sprint Backlog'!$P30="Hecho","✔","■"),"")</f>
        <v/>
      </c>
      <c r="O32" s="17" t="str">
        <f aca="false">IF(AND(14&gt;='Sprint Backlog'!$B30,14&lt;='Sprint Backlog'!$C30),IF('Sprint Backlog'!$P30="Hecho","✔","■"),"")</f>
        <v/>
      </c>
      <c r="P32" s="17" t="str">
        <f aca="false">IF(AND(15&gt;='Sprint Backlog'!$B30,15&lt;='Sprint Backlog'!$C30),IF('Sprint Backlog'!$P30="Hecho","✔","■"),"")</f>
        <v/>
      </c>
    </row>
    <row r="33" customFormat="false" ht="15.75" hidden="false" customHeight="true" outlineLevel="0" collapsed="false">
      <c r="A33" s="16" t="str">
        <f aca="false">'Sprint Backlog'!D31</f>
        <v>HU-016</v>
      </c>
      <c r="B33" s="16" t="str">
        <f aca="false">'Sprint Backlog'!G31</f>
        <v>Reindexar los recursos aprobados</v>
      </c>
      <c r="C33" s="16" t="str">
        <f aca="false">'Sprint Backlog'!K31</f>
        <v>Yan Liu Dai</v>
      </c>
      <c r="D33" s="5" t="n">
        <f aca="false">'Sprint Backlog'!J31</f>
        <v>5</v>
      </c>
      <c r="E33" s="17" t="str">
        <f aca="false">IF(AND(4&gt;='Sprint Backlog'!$B31,4&lt;='Sprint Backlog'!$C31),IF('Sprint Backlog'!$P31="Hecho","✔","■"),"")</f>
        <v/>
      </c>
      <c r="F33" s="17" t="str">
        <f aca="false">IF(AND(5&gt;='Sprint Backlog'!$B31,5&lt;='Sprint Backlog'!$C31),IF('Sprint Backlog'!$P31="Hecho","✔","■"),"")</f>
        <v/>
      </c>
      <c r="G33" s="17" t="str">
        <f aca="false">IF(AND(6&gt;='Sprint Backlog'!$B31,6&lt;='Sprint Backlog'!$C31),IF('Sprint Backlog'!$P31="Hecho","✔","■"),"")</f>
        <v/>
      </c>
      <c r="H33" s="17" t="str">
        <f aca="false">IF(AND(7&gt;='Sprint Backlog'!$B31,7&lt;='Sprint Backlog'!$C31),IF('Sprint Backlog'!$P31="Hecho","✔","■"),"")</f>
        <v/>
      </c>
      <c r="I33" s="17" t="str">
        <f aca="false">IF(AND(8&gt;='Sprint Backlog'!$B31,8&lt;='Sprint Backlog'!$C31),IF('Sprint Backlog'!$P31="Hecho","✔","■"),"")</f>
        <v/>
      </c>
      <c r="J33" s="17" t="str">
        <f aca="false">IF(AND(9&gt;='Sprint Backlog'!$B31,9&lt;='Sprint Backlog'!$C31),IF('Sprint Backlog'!$P31="Hecho","✔","■"),"")</f>
        <v>■</v>
      </c>
      <c r="K33" s="17" t="str">
        <f aca="false">IF(AND(10&gt;='Sprint Backlog'!$B31,10&lt;='Sprint Backlog'!$C31),IF('Sprint Backlog'!$P31="Hecho","✔","■"),"")</f>
        <v>■</v>
      </c>
      <c r="L33" s="17" t="str">
        <f aca="false">IF(AND(11&gt;='Sprint Backlog'!$B31,11&lt;='Sprint Backlog'!$C31),IF('Sprint Backlog'!$P31="Hecho","✔","■"),"")</f>
        <v/>
      </c>
      <c r="M33" s="17" t="str">
        <f aca="false">IF(AND(12&gt;='Sprint Backlog'!$B31,12&lt;='Sprint Backlog'!$C31),IF('Sprint Backlog'!$P31="Hecho","✔","■"),"")</f>
        <v/>
      </c>
      <c r="N33" s="17" t="str">
        <f aca="false">IF(AND(13&gt;='Sprint Backlog'!$B31,13&lt;='Sprint Backlog'!$C31),IF('Sprint Backlog'!$P31="Hecho","✔","■"),"")</f>
        <v/>
      </c>
      <c r="O33" s="17" t="str">
        <f aca="false">IF(AND(14&gt;='Sprint Backlog'!$B31,14&lt;='Sprint Backlog'!$C31),IF('Sprint Backlog'!$P31="Hecho","✔","■"),"")</f>
        <v/>
      </c>
      <c r="P33" s="17" t="str">
        <f aca="false">IF(AND(15&gt;='Sprint Backlog'!$B31,15&lt;='Sprint Backlog'!$C31),IF('Sprint Backlog'!$P31="Hecho","✔","■"),"")</f>
        <v/>
      </c>
    </row>
    <row r="34" customFormat="false" ht="15.75" hidden="false" customHeight="true" outlineLevel="0" collapsed="false">
      <c r="A34" s="16" t="str">
        <f aca="false">'Sprint Backlog'!D32</f>
        <v>HU-017</v>
      </c>
      <c r="B34" s="16" t="str">
        <f aca="false">'Sprint Backlog'!G32</f>
        <v>Etapa Elaborate: ejercicios de transferencia</v>
      </c>
      <c r="C34" s="16" t="str">
        <f aca="false">'Sprint Backlog'!K32</f>
        <v>Sergio Celi</v>
      </c>
      <c r="D34" s="5" t="n">
        <f aca="false">'Sprint Backlog'!J32</f>
        <v>3</v>
      </c>
      <c r="E34" s="17" t="str">
        <f aca="false">IF(AND(4&gt;='Sprint Backlog'!$B32,4&lt;='Sprint Backlog'!$C32),IF('Sprint Backlog'!$P32="Hecho","✔","■"),"")</f>
        <v/>
      </c>
      <c r="F34" s="17" t="str">
        <f aca="false">IF(AND(5&gt;='Sprint Backlog'!$B32,5&lt;='Sprint Backlog'!$C32),IF('Sprint Backlog'!$P32="Hecho","✔","■"),"")</f>
        <v/>
      </c>
      <c r="G34" s="17" t="str">
        <f aca="false">IF(AND(6&gt;='Sprint Backlog'!$B32,6&lt;='Sprint Backlog'!$C32),IF('Sprint Backlog'!$P32="Hecho","✔","■"),"")</f>
        <v/>
      </c>
      <c r="H34" s="17" t="str">
        <f aca="false">IF(AND(7&gt;='Sprint Backlog'!$B32,7&lt;='Sprint Backlog'!$C32),IF('Sprint Backlog'!$P32="Hecho","✔","■"),"")</f>
        <v/>
      </c>
      <c r="I34" s="17" t="str">
        <f aca="false">IF(AND(8&gt;='Sprint Backlog'!$B32,8&lt;='Sprint Backlog'!$C32),IF('Sprint Backlog'!$P32="Hecho","✔","■"),"")</f>
        <v/>
      </c>
      <c r="J34" s="17" t="str">
        <f aca="false">IF(AND(9&gt;='Sprint Backlog'!$B32,9&lt;='Sprint Backlog'!$C32),IF('Sprint Backlog'!$P32="Hecho","✔","■"),"")</f>
        <v>■</v>
      </c>
      <c r="K34" s="17" t="str">
        <f aca="false">IF(AND(10&gt;='Sprint Backlog'!$B32,10&lt;='Sprint Backlog'!$C32),IF('Sprint Backlog'!$P32="Hecho","✔","■"),"")</f>
        <v>■</v>
      </c>
      <c r="L34" s="17" t="str">
        <f aca="false">IF(AND(11&gt;='Sprint Backlog'!$B32,11&lt;='Sprint Backlog'!$C32),IF('Sprint Backlog'!$P32="Hecho","✔","■"),"")</f>
        <v/>
      </c>
      <c r="M34" s="17" t="str">
        <f aca="false">IF(AND(12&gt;='Sprint Backlog'!$B32,12&lt;='Sprint Backlog'!$C32),IF('Sprint Backlog'!$P32="Hecho","✔","■"),"")</f>
        <v/>
      </c>
      <c r="N34" s="17" t="str">
        <f aca="false">IF(AND(13&gt;='Sprint Backlog'!$B32,13&lt;='Sprint Backlog'!$C32),IF('Sprint Backlog'!$P32="Hecho","✔","■"),"")</f>
        <v/>
      </c>
      <c r="O34" s="17" t="str">
        <f aca="false">IF(AND(14&gt;='Sprint Backlog'!$B32,14&lt;='Sprint Backlog'!$C32),IF('Sprint Backlog'!$P32="Hecho","✔","■"),"")</f>
        <v/>
      </c>
      <c r="P34" s="17" t="str">
        <f aca="false">IF(AND(15&gt;='Sprint Backlog'!$B32,15&lt;='Sprint Backlog'!$C32),IF('Sprint Backlog'!$P32="Hecho","✔","■"),"")</f>
        <v/>
      </c>
    </row>
    <row r="35" customFormat="false" ht="15.75" hidden="false" customHeight="true" outlineLevel="0" collapsed="false">
      <c r="A35" s="16" t="str">
        <f aca="false">'Sprint Backlog'!D33</f>
        <v>HU-018</v>
      </c>
      <c r="B35" s="16" t="str">
        <f aca="false">'Sprint Backlog'!G33</f>
        <v>Exportar los ítems en QTI 3.0</v>
      </c>
      <c r="C35" s="16" t="str">
        <f aca="false">'Sprint Backlog'!K33</f>
        <v>Sergio Celi</v>
      </c>
      <c r="D35" s="5" t="n">
        <f aca="false">'Sprint Backlog'!J33</f>
        <v>5</v>
      </c>
      <c r="E35" s="17" t="str">
        <f aca="false">IF(AND(4&gt;='Sprint Backlog'!$B33,4&lt;='Sprint Backlog'!$C33),IF('Sprint Backlog'!$P33="Hecho","✔","■"),"")</f>
        <v/>
      </c>
      <c r="F35" s="17" t="str">
        <f aca="false">IF(AND(5&gt;='Sprint Backlog'!$B33,5&lt;='Sprint Backlog'!$C33),IF('Sprint Backlog'!$P33="Hecho","✔","■"),"")</f>
        <v/>
      </c>
      <c r="G35" s="17" t="str">
        <f aca="false">IF(AND(6&gt;='Sprint Backlog'!$B33,6&lt;='Sprint Backlog'!$C33),IF('Sprint Backlog'!$P33="Hecho","✔","■"),"")</f>
        <v/>
      </c>
      <c r="H35" s="17" t="str">
        <f aca="false">IF(AND(7&gt;='Sprint Backlog'!$B33,7&lt;='Sprint Backlog'!$C33),IF('Sprint Backlog'!$P33="Hecho","✔","■"),"")</f>
        <v/>
      </c>
      <c r="I35" s="17" t="str">
        <f aca="false">IF(AND(8&gt;='Sprint Backlog'!$B33,8&lt;='Sprint Backlog'!$C33),IF('Sprint Backlog'!$P33="Hecho","✔","■"),"")</f>
        <v/>
      </c>
      <c r="J35" s="17" t="str">
        <f aca="false">IF(AND(9&gt;='Sprint Backlog'!$B33,9&lt;='Sprint Backlog'!$C33),IF('Sprint Backlog'!$P33="Hecho","✔","■"),"")</f>
        <v>■</v>
      </c>
      <c r="K35" s="17" t="str">
        <f aca="false">IF(AND(10&gt;='Sprint Backlog'!$B33,10&lt;='Sprint Backlog'!$C33),IF('Sprint Backlog'!$P33="Hecho","✔","■"),"")</f>
        <v>■</v>
      </c>
      <c r="L35" s="17" t="str">
        <f aca="false">IF(AND(11&gt;='Sprint Backlog'!$B33,11&lt;='Sprint Backlog'!$C33),IF('Sprint Backlog'!$P33="Hecho","✔","■"),"")</f>
        <v/>
      </c>
      <c r="M35" s="17" t="str">
        <f aca="false">IF(AND(12&gt;='Sprint Backlog'!$B33,12&lt;='Sprint Backlog'!$C33),IF('Sprint Backlog'!$P33="Hecho","✔","■"),"")</f>
        <v/>
      </c>
      <c r="N35" s="17" t="str">
        <f aca="false">IF(AND(13&gt;='Sprint Backlog'!$B33,13&lt;='Sprint Backlog'!$C33),IF('Sprint Backlog'!$P33="Hecho","✔","■"),"")</f>
        <v/>
      </c>
      <c r="O35" s="17" t="str">
        <f aca="false">IF(AND(14&gt;='Sprint Backlog'!$B33,14&lt;='Sprint Backlog'!$C33),IF('Sprint Backlog'!$P33="Hecho","✔","■"),"")</f>
        <v/>
      </c>
      <c r="P35" s="17" t="str">
        <f aca="false">IF(AND(15&gt;='Sprint Backlog'!$B33,15&lt;='Sprint Backlog'!$C33),IF('Sprint Backlog'!$P33="Hecho","✔","■"),"")</f>
        <v/>
      </c>
    </row>
    <row r="36" customFormat="false" ht="15.75" hidden="false" customHeight="true" outlineLevel="0" collapsed="false">
      <c r="A36" s="16" t="str">
        <f aca="false">'Sprint Backlog'!D34</f>
        <v>HU-019</v>
      </c>
      <c r="B36" s="16" t="str">
        <f aca="false">'Sprint Backlog'!G34</f>
        <v>Empaquetar en SCORM o Common Cartridge</v>
      </c>
      <c r="C36" s="16" t="str">
        <f aca="false">'Sprint Backlog'!K34</f>
        <v>Sergio Celi</v>
      </c>
      <c r="D36" s="5" t="n">
        <f aca="false">'Sprint Backlog'!J34</f>
        <v>3</v>
      </c>
      <c r="E36" s="17" t="str">
        <f aca="false">IF(AND(4&gt;='Sprint Backlog'!$B34,4&lt;='Sprint Backlog'!$C34),IF('Sprint Backlog'!$P34="Hecho","✔","■"),"")</f>
        <v/>
      </c>
      <c r="F36" s="17" t="str">
        <f aca="false">IF(AND(5&gt;='Sprint Backlog'!$B34,5&lt;='Sprint Backlog'!$C34),IF('Sprint Backlog'!$P34="Hecho","✔","■"),"")</f>
        <v/>
      </c>
      <c r="G36" s="17" t="str">
        <f aca="false">IF(AND(6&gt;='Sprint Backlog'!$B34,6&lt;='Sprint Backlog'!$C34),IF('Sprint Backlog'!$P34="Hecho","✔","■"),"")</f>
        <v/>
      </c>
      <c r="H36" s="17" t="str">
        <f aca="false">IF(AND(7&gt;='Sprint Backlog'!$B34,7&lt;='Sprint Backlog'!$C34),IF('Sprint Backlog'!$P34="Hecho","✔","■"),"")</f>
        <v/>
      </c>
      <c r="I36" s="17" t="str">
        <f aca="false">IF(AND(8&gt;='Sprint Backlog'!$B34,8&lt;='Sprint Backlog'!$C34),IF('Sprint Backlog'!$P34="Hecho","✔","■"),"")</f>
        <v/>
      </c>
      <c r="J36" s="17" t="str">
        <f aca="false">IF(AND(9&gt;='Sprint Backlog'!$B34,9&lt;='Sprint Backlog'!$C34),IF('Sprint Backlog'!$P34="Hecho","✔","■"),"")</f>
        <v/>
      </c>
      <c r="K36" s="17" t="str">
        <f aca="false">IF(AND(10&gt;='Sprint Backlog'!$B34,10&lt;='Sprint Backlog'!$C34),IF('Sprint Backlog'!$P34="Hecho","✔","■"),"")</f>
        <v>■</v>
      </c>
      <c r="L36" s="17" t="str">
        <f aca="false">IF(AND(11&gt;='Sprint Backlog'!$B34,11&lt;='Sprint Backlog'!$C34),IF('Sprint Backlog'!$P34="Hecho","✔","■"),"")</f>
        <v/>
      </c>
      <c r="M36" s="17" t="str">
        <f aca="false">IF(AND(12&gt;='Sprint Backlog'!$B34,12&lt;='Sprint Backlog'!$C34),IF('Sprint Backlog'!$P34="Hecho","✔","■"),"")</f>
        <v/>
      </c>
      <c r="N36" s="17" t="str">
        <f aca="false">IF(AND(13&gt;='Sprint Backlog'!$B34,13&lt;='Sprint Backlog'!$C34),IF('Sprint Backlog'!$P34="Hecho","✔","■"),"")</f>
        <v/>
      </c>
      <c r="O36" s="17" t="str">
        <f aca="false">IF(AND(14&gt;='Sprint Backlog'!$B34,14&lt;='Sprint Backlog'!$C34),IF('Sprint Backlog'!$P34="Hecho","✔","■"),"")</f>
        <v/>
      </c>
      <c r="P36" s="17" t="str">
        <f aca="false">IF(AND(15&gt;='Sprint Backlog'!$B34,15&lt;='Sprint Backlog'!$C34),IF('Sprint Backlog'!$P34="Hecho","✔","■"),"")</f>
        <v/>
      </c>
    </row>
    <row r="37" customFormat="false" ht="15.75" hidden="false" customHeight="true" outlineLevel="0" collapsed="false">
      <c r="A37" s="16" t="str">
        <f aca="false">'Sprint Backlog'!D35</f>
        <v>HU-020</v>
      </c>
      <c r="B37" s="16" t="str">
        <f aca="false">'Sprint Backlog'!G35</f>
        <v>Analítica de ítems con respuestas de estudiantes</v>
      </c>
      <c r="C37" s="16" t="str">
        <f aca="false">'Sprint Backlog'!K35</f>
        <v>Silvana Diaz</v>
      </c>
      <c r="D37" s="5" t="n">
        <f aca="false">'Sprint Backlog'!J35</f>
        <v>5</v>
      </c>
      <c r="E37" s="17" t="str">
        <f aca="false">IF(AND(4&gt;='Sprint Backlog'!$B35,4&lt;='Sprint Backlog'!$C35),IF('Sprint Backlog'!$P35="Hecho","✔","■"),"")</f>
        <v/>
      </c>
      <c r="F37" s="17" t="str">
        <f aca="false">IF(AND(5&gt;='Sprint Backlog'!$B35,5&lt;='Sprint Backlog'!$C35),IF('Sprint Backlog'!$P35="Hecho","✔","■"),"")</f>
        <v/>
      </c>
      <c r="G37" s="17" t="str">
        <f aca="false">IF(AND(6&gt;='Sprint Backlog'!$B35,6&lt;='Sprint Backlog'!$C35),IF('Sprint Backlog'!$P35="Hecho","✔","■"),"")</f>
        <v/>
      </c>
      <c r="H37" s="17" t="str">
        <f aca="false">IF(AND(7&gt;='Sprint Backlog'!$B35,7&lt;='Sprint Backlog'!$C35),IF('Sprint Backlog'!$P35="Hecho","✔","■"),"")</f>
        <v/>
      </c>
      <c r="I37" s="17" t="str">
        <f aca="false">IF(AND(8&gt;='Sprint Backlog'!$B35,8&lt;='Sprint Backlog'!$C35),IF('Sprint Backlog'!$P35="Hecho","✔","■"),"")</f>
        <v/>
      </c>
      <c r="J37" s="17" t="str">
        <f aca="false">IF(AND(9&gt;='Sprint Backlog'!$B35,9&lt;='Sprint Backlog'!$C35),IF('Sprint Backlog'!$P35="Hecho","✔","■"),"")</f>
        <v/>
      </c>
      <c r="K37" s="17" t="str">
        <f aca="false">IF(AND(10&gt;='Sprint Backlog'!$B35,10&lt;='Sprint Backlog'!$C35),IF('Sprint Backlog'!$P35="Hecho","✔","■"),"")</f>
        <v>■</v>
      </c>
      <c r="L37" s="17" t="str">
        <f aca="false">IF(AND(11&gt;='Sprint Backlog'!$B35,11&lt;='Sprint Backlog'!$C35),IF('Sprint Backlog'!$P35="Hecho","✔","■"),"")</f>
        <v>■</v>
      </c>
      <c r="M37" s="17" t="str">
        <f aca="false">IF(AND(12&gt;='Sprint Backlog'!$B35,12&lt;='Sprint Backlog'!$C35),IF('Sprint Backlog'!$P35="Hecho","✔","■"),"")</f>
        <v/>
      </c>
      <c r="N37" s="17" t="str">
        <f aca="false">IF(AND(13&gt;='Sprint Backlog'!$B35,13&lt;='Sprint Backlog'!$C35),IF('Sprint Backlog'!$P35="Hecho","✔","■"),"")</f>
        <v/>
      </c>
      <c r="O37" s="17" t="str">
        <f aca="false">IF(AND(14&gt;='Sprint Backlog'!$B35,14&lt;='Sprint Backlog'!$C35),IF('Sprint Backlog'!$P35="Hecho","✔","■"),"")</f>
        <v/>
      </c>
      <c r="P37" s="17" t="str">
        <f aca="false">IF(AND(15&gt;='Sprint Backlog'!$B35,15&lt;='Sprint Backlog'!$C35),IF('Sprint Backlog'!$P35="Hecho","✔","■"),"")</f>
        <v/>
      </c>
    </row>
    <row r="38" customFormat="false" ht="15.75" hidden="false" customHeight="true" outlineLevel="0" collapsed="false">
      <c r="A38" s="16" t="str">
        <f aca="false">'Sprint Backlog'!D36</f>
        <v>HU-021</v>
      </c>
      <c r="B38" s="16" t="str">
        <f aca="false">'Sprint Backlog'!G36</f>
        <v>Tablero de indicadores del proyecto</v>
      </c>
      <c r="C38" s="16" t="str">
        <f aca="false">'Sprint Backlog'!K36</f>
        <v>Silvana Diaz</v>
      </c>
      <c r="D38" s="5" t="n">
        <f aca="false">'Sprint Backlog'!J36</f>
        <v>5</v>
      </c>
      <c r="E38" s="17" t="str">
        <f aca="false">IF(AND(4&gt;='Sprint Backlog'!$B36,4&lt;='Sprint Backlog'!$C36),IF('Sprint Backlog'!$P36="Hecho","✔","■"),"")</f>
        <v/>
      </c>
      <c r="F38" s="17" t="str">
        <f aca="false">IF(AND(5&gt;='Sprint Backlog'!$B36,5&lt;='Sprint Backlog'!$C36),IF('Sprint Backlog'!$P36="Hecho","✔","■"),"")</f>
        <v/>
      </c>
      <c r="G38" s="17" t="str">
        <f aca="false">IF(AND(6&gt;='Sprint Backlog'!$B36,6&lt;='Sprint Backlog'!$C36),IF('Sprint Backlog'!$P36="Hecho","✔","■"),"")</f>
        <v/>
      </c>
      <c r="H38" s="17" t="str">
        <f aca="false">IF(AND(7&gt;='Sprint Backlog'!$B36,7&lt;='Sprint Backlog'!$C36),IF('Sprint Backlog'!$P36="Hecho","✔","■"),"")</f>
        <v/>
      </c>
      <c r="I38" s="17" t="str">
        <f aca="false">IF(AND(8&gt;='Sprint Backlog'!$B36,8&lt;='Sprint Backlog'!$C36),IF('Sprint Backlog'!$P36="Hecho","✔","■"),"")</f>
        <v/>
      </c>
      <c r="J38" s="17" t="str">
        <f aca="false">IF(AND(9&gt;='Sprint Backlog'!$B36,9&lt;='Sprint Backlog'!$C36),IF('Sprint Backlog'!$P36="Hecho","✔","■"),"")</f>
        <v/>
      </c>
      <c r="K38" s="17" t="str">
        <f aca="false">IF(AND(10&gt;='Sprint Backlog'!$B36,10&lt;='Sprint Backlog'!$C36),IF('Sprint Backlog'!$P36="Hecho","✔","■"),"")</f>
        <v>■</v>
      </c>
      <c r="L38" s="17" t="str">
        <f aca="false">IF(AND(11&gt;='Sprint Backlog'!$B36,11&lt;='Sprint Backlog'!$C36),IF('Sprint Backlog'!$P36="Hecho","✔","■"),"")</f>
        <v>■</v>
      </c>
      <c r="M38" s="17" t="str">
        <f aca="false">IF(AND(12&gt;='Sprint Backlog'!$B36,12&lt;='Sprint Backlog'!$C36),IF('Sprint Backlog'!$P36="Hecho","✔","■"),"")</f>
        <v/>
      </c>
      <c r="N38" s="17" t="str">
        <f aca="false">IF(AND(13&gt;='Sprint Backlog'!$B36,13&lt;='Sprint Backlog'!$C36),IF('Sprint Backlog'!$P36="Hecho","✔","■"),"")</f>
        <v/>
      </c>
      <c r="O38" s="17" t="str">
        <f aca="false">IF(AND(14&gt;='Sprint Backlog'!$B36,14&lt;='Sprint Backlog'!$C36),IF('Sprint Backlog'!$P36="Hecho","✔","■"),"")</f>
        <v/>
      </c>
      <c r="P38" s="17" t="str">
        <f aca="false">IF(AND(15&gt;='Sprint Backlog'!$B36,15&lt;='Sprint Backlog'!$C36),IF('Sprint Backlog'!$P36="Hecho","✔","■"),"")</f>
        <v/>
      </c>
    </row>
    <row r="39" customFormat="false" ht="15.75" hidden="false" customHeight="true" outlineLevel="0" collapsed="false">
      <c r="A39" s="16" t="str">
        <f aca="false">'Sprint Backlog'!D37</f>
        <v>RN-002</v>
      </c>
      <c r="B39" s="16" t="str">
        <f aca="false">'Sprint Backlog'!G37</f>
        <v>Disponibilidad del servicio durante el piloto</v>
      </c>
      <c r="C39" s="16" t="str">
        <f aca="false">'Sprint Backlog'!K37</f>
        <v>Sergio Celi</v>
      </c>
      <c r="D39" s="5" t="n">
        <f aca="false">'Sprint Backlog'!J37</f>
        <v>2</v>
      </c>
      <c r="E39" s="17" t="str">
        <f aca="false">IF(AND(4&gt;='Sprint Backlog'!$B37,4&lt;='Sprint Backlog'!$C37),IF('Sprint Backlog'!$P37="Hecho","✔","■"),"")</f>
        <v/>
      </c>
      <c r="F39" s="17" t="str">
        <f aca="false">IF(AND(5&gt;='Sprint Backlog'!$B37,5&lt;='Sprint Backlog'!$C37),IF('Sprint Backlog'!$P37="Hecho","✔","■"),"")</f>
        <v/>
      </c>
      <c r="G39" s="17" t="str">
        <f aca="false">IF(AND(6&gt;='Sprint Backlog'!$B37,6&lt;='Sprint Backlog'!$C37),IF('Sprint Backlog'!$P37="Hecho","✔","■"),"")</f>
        <v/>
      </c>
      <c r="H39" s="17" t="str">
        <f aca="false">IF(AND(7&gt;='Sprint Backlog'!$B37,7&lt;='Sprint Backlog'!$C37),IF('Sprint Backlog'!$P37="Hecho","✔","■"),"")</f>
        <v/>
      </c>
      <c r="I39" s="17" t="str">
        <f aca="false">IF(AND(8&gt;='Sprint Backlog'!$B37,8&lt;='Sprint Backlog'!$C37),IF('Sprint Backlog'!$P37="Hecho","✔","■"),"")</f>
        <v/>
      </c>
      <c r="J39" s="17" t="str">
        <f aca="false">IF(AND(9&gt;='Sprint Backlog'!$B37,9&lt;='Sprint Backlog'!$C37),IF('Sprint Backlog'!$P37="Hecho","✔","■"),"")</f>
        <v/>
      </c>
      <c r="K39" s="17" t="str">
        <f aca="false">IF(AND(10&gt;='Sprint Backlog'!$B37,10&lt;='Sprint Backlog'!$C37),IF('Sprint Backlog'!$P37="Hecho","✔","■"),"")</f>
        <v>■</v>
      </c>
      <c r="L39" s="17" t="str">
        <f aca="false">IF(AND(11&gt;='Sprint Backlog'!$B37,11&lt;='Sprint Backlog'!$C37),IF('Sprint Backlog'!$P37="Hecho","✔","■"),"")</f>
        <v>■</v>
      </c>
      <c r="M39" s="17" t="str">
        <f aca="false">IF(AND(12&gt;='Sprint Backlog'!$B37,12&lt;='Sprint Backlog'!$C37),IF('Sprint Backlog'!$P37="Hecho","✔","■"),"")</f>
        <v/>
      </c>
      <c r="N39" s="17" t="str">
        <f aca="false">IF(AND(13&gt;='Sprint Backlog'!$B37,13&lt;='Sprint Backlog'!$C37),IF('Sprint Backlog'!$P37="Hecho","✔","■"),"")</f>
        <v/>
      </c>
      <c r="O39" s="17" t="str">
        <f aca="false">IF(AND(14&gt;='Sprint Backlog'!$B37,14&lt;='Sprint Backlog'!$C37),IF('Sprint Backlog'!$P37="Hecho","✔","■"),"")</f>
        <v/>
      </c>
      <c r="P39" s="17" t="str">
        <f aca="false">IF(AND(15&gt;='Sprint Backlog'!$B37,15&lt;='Sprint Backlog'!$C37),IF('Sprint Backlog'!$P37="Hecho","✔","■"),"")</f>
        <v/>
      </c>
    </row>
    <row r="40" customFormat="false" ht="15.75" hidden="false" customHeight="true" outlineLevel="0" collapsed="false">
      <c r="A40" s="16" t="str">
        <f aca="false">'Sprint Backlog'!D38</f>
        <v>RN-003</v>
      </c>
      <c r="B40" s="16" t="str">
        <f aca="false">'Sprint Backlog'!G38</f>
        <v>Control de acceso por rol y escaneo de seguridad</v>
      </c>
      <c r="C40" s="16" t="str">
        <f aca="false">'Sprint Backlog'!K38</f>
        <v>Sergio Celi</v>
      </c>
      <c r="D40" s="5" t="n">
        <f aca="false">'Sprint Backlog'!J38</f>
        <v>3</v>
      </c>
      <c r="E40" s="17" t="str">
        <f aca="false">IF(AND(4&gt;='Sprint Backlog'!$B38,4&lt;='Sprint Backlog'!$C38),IF('Sprint Backlog'!$P38="Hecho","✔","■"),"")</f>
        <v/>
      </c>
      <c r="F40" s="17" t="str">
        <f aca="false">IF(AND(5&gt;='Sprint Backlog'!$B38,5&lt;='Sprint Backlog'!$C38),IF('Sprint Backlog'!$P38="Hecho","✔","■"),"")</f>
        <v/>
      </c>
      <c r="G40" s="17" t="str">
        <f aca="false">IF(AND(6&gt;='Sprint Backlog'!$B38,6&lt;='Sprint Backlog'!$C38),IF('Sprint Backlog'!$P38="Hecho","✔","■"),"")</f>
        <v/>
      </c>
      <c r="H40" s="17" t="str">
        <f aca="false">IF(AND(7&gt;='Sprint Backlog'!$B38,7&lt;='Sprint Backlog'!$C38),IF('Sprint Backlog'!$P38="Hecho","✔","■"),"")</f>
        <v/>
      </c>
      <c r="I40" s="17" t="str">
        <f aca="false">IF(AND(8&gt;='Sprint Backlog'!$B38,8&lt;='Sprint Backlog'!$C38),IF('Sprint Backlog'!$P38="Hecho","✔","■"),"")</f>
        <v/>
      </c>
      <c r="J40" s="17" t="str">
        <f aca="false">IF(AND(9&gt;='Sprint Backlog'!$B38,9&lt;='Sprint Backlog'!$C38),IF('Sprint Backlog'!$P38="Hecho","✔","■"),"")</f>
        <v/>
      </c>
      <c r="K40" s="17" t="str">
        <f aca="false">IF(AND(10&gt;='Sprint Backlog'!$B38,10&lt;='Sprint Backlog'!$C38),IF('Sprint Backlog'!$P38="Hecho","✔","■"),"")</f>
        <v>■</v>
      </c>
      <c r="L40" s="17" t="str">
        <f aca="false">IF(AND(11&gt;='Sprint Backlog'!$B38,11&lt;='Sprint Backlog'!$C38),IF('Sprint Backlog'!$P38="Hecho","✔","■"),"")</f>
        <v>■</v>
      </c>
      <c r="M40" s="17" t="str">
        <f aca="false">IF(AND(12&gt;='Sprint Backlog'!$B38,12&lt;='Sprint Backlog'!$C38),IF('Sprint Backlog'!$P38="Hecho","✔","■"),"")</f>
        <v/>
      </c>
      <c r="N40" s="17" t="str">
        <f aca="false">IF(AND(13&gt;='Sprint Backlog'!$B38,13&lt;='Sprint Backlog'!$C38),IF('Sprint Backlog'!$P38="Hecho","✔","■"),"")</f>
        <v/>
      </c>
      <c r="O40" s="17" t="str">
        <f aca="false">IF(AND(14&gt;='Sprint Backlog'!$B38,14&lt;='Sprint Backlog'!$C38),IF('Sprint Backlog'!$P38="Hecho","✔","■"),"")</f>
        <v/>
      </c>
      <c r="P40" s="17" t="str">
        <f aca="false">IF(AND(15&gt;='Sprint Backlog'!$B38,15&lt;='Sprint Backlog'!$C38),IF('Sprint Backlog'!$P38="Hecho","✔","■"),"")</f>
        <v/>
      </c>
    </row>
    <row r="41" customFormat="false" ht="15.75" hidden="false" customHeight="true" outlineLevel="0" collapsed="false">
      <c r="A41" s="16" t="str">
        <f aca="false">'Sprint Backlog'!D39</f>
        <v>TA-002</v>
      </c>
      <c r="B41" s="16" t="str">
        <f aca="false">'Sprint Backlog'!G39</f>
        <v>Rutina de pruebas de importación en los LMS</v>
      </c>
      <c r="C41" s="16" t="str">
        <f aca="false">'Sprint Backlog'!K39</f>
        <v>Sergio Celi</v>
      </c>
      <c r="D41" s="5" t="n">
        <f aca="false">'Sprint Backlog'!J39</f>
        <v>3</v>
      </c>
      <c r="E41" s="17" t="str">
        <f aca="false">IF(AND(4&gt;='Sprint Backlog'!$B39,4&lt;='Sprint Backlog'!$C39),IF('Sprint Backlog'!$P39="Hecho","✔","■"),"")</f>
        <v/>
      </c>
      <c r="F41" s="17" t="str">
        <f aca="false">IF(AND(5&gt;='Sprint Backlog'!$B39,5&lt;='Sprint Backlog'!$C39),IF('Sprint Backlog'!$P39="Hecho","✔","■"),"")</f>
        <v/>
      </c>
      <c r="G41" s="17" t="str">
        <f aca="false">IF(AND(6&gt;='Sprint Backlog'!$B39,6&lt;='Sprint Backlog'!$C39),IF('Sprint Backlog'!$P39="Hecho","✔","■"),"")</f>
        <v/>
      </c>
      <c r="H41" s="17" t="str">
        <f aca="false">IF(AND(7&gt;='Sprint Backlog'!$B39,7&lt;='Sprint Backlog'!$C39),IF('Sprint Backlog'!$P39="Hecho","✔","■"),"")</f>
        <v/>
      </c>
      <c r="I41" s="17" t="str">
        <f aca="false">IF(AND(8&gt;='Sprint Backlog'!$B39,8&lt;='Sprint Backlog'!$C39),IF('Sprint Backlog'!$P39="Hecho","✔","■"),"")</f>
        <v/>
      </c>
      <c r="J41" s="17" t="str">
        <f aca="false">IF(AND(9&gt;='Sprint Backlog'!$B39,9&lt;='Sprint Backlog'!$C39),IF('Sprint Backlog'!$P39="Hecho","✔","■"),"")</f>
        <v/>
      </c>
      <c r="K41" s="17" t="str">
        <f aca="false">IF(AND(10&gt;='Sprint Backlog'!$B39,10&lt;='Sprint Backlog'!$C39),IF('Sprint Backlog'!$P39="Hecho","✔","■"),"")</f>
        <v>■</v>
      </c>
      <c r="L41" s="17" t="str">
        <f aca="false">IF(AND(11&gt;='Sprint Backlog'!$B39,11&lt;='Sprint Backlog'!$C39),IF('Sprint Backlog'!$P39="Hecho","✔","■"),"")</f>
        <v>■</v>
      </c>
      <c r="M41" s="17" t="str">
        <f aca="false">IF(AND(12&gt;='Sprint Backlog'!$B39,12&lt;='Sprint Backlog'!$C39),IF('Sprint Backlog'!$P39="Hecho","✔","■"),"")</f>
        <v/>
      </c>
      <c r="N41" s="17" t="str">
        <f aca="false">IF(AND(13&gt;='Sprint Backlog'!$B39,13&lt;='Sprint Backlog'!$C39),IF('Sprint Backlog'!$P39="Hecho","✔","■"),"")</f>
        <v/>
      </c>
      <c r="O41" s="17" t="str">
        <f aca="false">IF(AND(14&gt;='Sprint Backlog'!$B39,14&lt;='Sprint Backlog'!$C39),IF('Sprint Backlog'!$P39="Hecho","✔","■"),"")</f>
        <v/>
      </c>
      <c r="P41" s="17" t="str">
        <f aca="false">IF(AND(15&gt;='Sprint Backlog'!$B39,15&lt;='Sprint Backlog'!$C39),IF('Sprint Backlog'!$P39="Hecho","✔","■"),"")</f>
        <v/>
      </c>
    </row>
    <row r="42" customFormat="false" ht="15.75" hidden="false" customHeight="true" outlineLevel="0" collapsed="false">
      <c r="A42" s="16" t="str">
        <f aca="false">'Sprint Backlog'!D40</f>
        <v>DO-002</v>
      </c>
      <c r="B42" s="16" t="str">
        <f aca="false">'Sprint Backlog'!G40</f>
        <v>Piloto con docentes y estudiantes</v>
      </c>
      <c r="C42" s="16" t="str">
        <f aca="false">'Sprint Backlog'!K40</f>
        <v>Equipo completo</v>
      </c>
      <c r="D42" s="5" t="n">
        <f aca="false">'Sprint Backlog'!J40</f>
        <v>3</v>
      </c>
      <c r="E42" s="17" t="str">
        <f aca="false">IF(AND(4&gt;='Sprint Backlog'!$B40,4&lt;='Sprint Backlog'!$C40),IF('Sprint Backlog'!$P40="Hecho","✔","■"),"")</f>
        <v/>
      </c>
      <c r="F42" s="17" t="str">
        <f aca="false">IF(AND(5&gt;='Sprint Backlog'!$B40,5&lt;='Sprint Backlog'!$C40),IF('Sprint Backlog'!$P40="Hecho","✔","■"),"")</f>
        <v/>
      </c>
      <c r="G42" s="17" t="str">
        <f aca="false">IF(AND(6&gt;='Sprint Backlog'!$B40,6&lt;='Sprint Backlog'!$C40),IF('Sprint Backlog'!$P40="Hecho","✔","■"),"")</f>
        <v/>
      </c>
      <c r="H42" s="17" t="str">
        <f aca="false">IF(AND(7&gt;='Sprint Backlog'!$B40,7&lt;='Sprint Backlog'!$C40),IF('Sprint Backlog'!$P40="Hecho","✔","■"),"")</f>
        <v/>
      </c>
      <c r="I42" s="17" t="str">
        <f aca="false">IF(AND(8&gt;='Sprint Backlog'!$B40,8&lt;='Sprint Backlog'!$C40),IF('Sprint Backlog'!$P40="Hecho","✔","■"),"")</f>
        <v/>
      </c>
      <c r="J42" s="17" t="str">
        <f aca="false">IF(AND(9&gt;='Sprint Backlog'!$B40,9&lt;='Sprint Backlog'!$C40),IF('Sprint Backlog'!$P40="Hecho","✔","■"),"")</f>
        <v/>
      </c>
      <c r="K42" s="17" t="str">
        <f aca="false">IF(AND(10&gt;='Sprint Backlog'!$B40,10&lt;='Sprint Backlog'!$C40),IF('Sprint Backlog'!$P40="Hecho","✔","■"),"")</f>
        <v/>
      </c>
      <c r="L42" s="17" t="str">
        <f aca="false">IF(AND(11&gt;='Sprint Backlog'!$B40,11&lt;='Sprint Backlog'!$C40),IF('Sprint Backlog'!$P40="Hecho","✔","■"),"")</f>
        <v>■</v>
      </c>
      <c r="M42" s="17" t="str">
        <f aca="false">IF(AND(12&gt;='Sprint Backlog'!$B40,12&lt;='Sprint Backlog'!$C40),IF('Sprint Backlog'!$P40="Hecho","✔","■"),"")</f>
        <v/>
      </c>
      <c r="N42" s="17" t="str">
        <f aca="false">IF(AND(13&gt;='Sprint Backlog'!$B40,13&lt;='Sprint Backlog'!$C40),IF('Sprint Backlog'!$P40="Hecho","✔","■"),"")</f>
        <v/>
      </c>
      <c r="O42" s="17" t="str">
        <f aca="false">IF(AND(14&gt;='Sprint Backlog'!$B40,14&lt;='Sprint Backlog'!$C40),IF('Sprint Backlog'!$P40="Hecho","✔","■"),"")</f>
        <v/>
      </c>
      <c r="P42" s="17" t="str">
        <f aca="false">IF(AND(15&gt;='Sprint Backlog'!$B40,15&lt;='Sprint Backlog'!$C40),IF('Sprint Backlog'!$P40="Hecho","✔","■"),"")</f>
        <v/>
      </c>
    </row>
    <row r="43" customFormat="false" ht="15.75" hidden="false" customHeight="true" outlineLevel="0" collapsed="false">
      <c r="A43" s="16" t="str">
        <f aca="false">'Sprint Backlog'!D41</f>
        <v>RN-001</v>
      </c>
      <c r="B43" s="16" t="str">
        <f aca="false">'Sprint Backlog'!G41</f>
        <v>Latencia de recuperación y generación</v>
      </c>
      <c r="C43" s="16" t="str">
        <f aca="false">'Sprint Backlog'!K41</f>
        <v>Sergio Celi</v>
      </c>
      <c r="D43" s="5" t="n">
        <f aca="false">'Sprint Backlog'!J41</f>
        <v>2</v>
      </c>
      <c r="E43" s="17" t="str">
        <f aca="false">IF(AND(4&gt;='Sprint Backlog'!$B41,4&lt;='Sprint Backlog'!$C41),IF('Sprint Backlog'!$P41="Hecho","✔","■"),"")</f>
        <v/>
      </c>
      <c r="F43" s="17" t="str">
        <f aca="false">IF(AND(5&gt;='Sprint Backlog'!$B41,5&lt;='Sprint Backlog'!$C41),IF('Sprint Backlog'!$P41="Hecho","✔","■"),"")</f>
        <v/>
      </c>
      <c r="G43" s="17" t="str">
        <f aca="false">IF(AND(6&gt;='Sprint Backlog'!$B41,6&lt;='Sprint Backlog'!$C41),IF('Sprint Backlog'!$P41="Hecho","✔","■"),"")</f>
        <v/>
      </c>
      <c r="H43" s="17" t="str">
        <f aca="false">IF(AND(7&gt;='Sprint Backlog'!$B41,7&lt;='Sprint Backlog'!$C41),IF('Sprint Backlog'!$P41="Hecho","✔","■"),"")</f>
        <v/>
      </c>
      <c r="I43" s="17" t="str">
        <f aca="false">IF(AND(8&gt;='Sprint Backlog'!$B41,8&lt;='Sprint Backlog'!$C41),IF('Sprint Backlog'!$P41="Hecho","✔","■"),"")</f>
        <v/>
      </c>
      <c r="J43" s="17" t="str">
        <f aca="false">IF(AND(9&gt;='Sprint Backlog'!$B41,9&lt;='Sprint Backlog'!$C41),IF('Sprint Backlog'!$P41="Hecho","✔","■"),"")</f>
        <v/>
      </c>
      <c r="K43" s="17" t="str">
        <f aca="false">IF(AND(10&gt;='Sprint Backlog'!$B41,10&lt;='Sprint Backlog'!$C41),IF('Sprint Backlog'!$P41="Hecho","✔","■"),"")</f>
        <v/>
      </c>
      <c r="L43" s="17" t="str">
        <f aca="false">IF(AND(11&gt;='Sprint Backlog'!$B41,11&lt;='Sprint Backlog'!$C41),IF('Sprint Backlog'!$P41="Hecho","✔","■"),"")</f>
        <v>■</v>
      </c>
      <c r="M43" s="17" t="str">
        <f aca="false">IF(AND(12&gt;='Sprint Backlog'!$B41,12&lt;='Sprint Backlog'!$C41),IF('Sprint Backlog'!$P41="Hecho","✔","■"),"")</f>
        <v/>
      </c>
      <c r="N43" s="17" t="str">
        <f aca="false">IF(AND(13&gt;='Sprint Backlog'!$B41,13&lt;='Sprint Backlog'!$C41),IF('Sprint Backlog'!$P41="Hecho","✔","■"),"")</f>
        <v/>
      </c>
      <c r="O43" s="17" t="str">
        <f aca="false">IF(AND(14&gt;='Sprint Backlog'!$B41,14&lt;='Sprint Backlog'!$C41),IF('Sprint Backlog'!$P41="Hecho","✔","■"),"")</f>
        <v/>
      </c>
      <c r="P43" s="17" t="str">
        <f aca="false">IF(AND(15&gt;='Sprint Backlog'!$B41,15&lt;='Sprint Backlog'!$C41),IF('Sprint Backlog'!$P41="Hecho","✔","■"),"")</f>
        <v/>
      </c>
    </row>
    <row r="44" customFormat="false" ht="15.75" hidden="false" customHeight="true" outlineLevel="0" collapsed="false">
      <c r="A44" s="16" t="str">
        <f aca="false">'Sprint Backlog'!D42</f>
        <v>DO-003</v>
      </c>
      <c r="B44" s="16" t="str">
        <f aca="false">'Sprint Backlog'!G42</f>
        <v>Reporte técnico con resultados por indicador</v>
      </c>
      <c r="C44" s="16" t="str">
        <f aca="false">'Sprint Backlog'!K42</f>
        <v>Equipo completo</v>
      </c>
      <c r="D44" s="5" t="n">
        <f aca="false">'Sprint Backlog'!J42</f>
        <v>5</v>
      </c>
      <c r="E44" s="17" t="str">
        <f aca="false">IF(AND(4&gt;='Sprint Backlog'!$B42,4&lt;='Sprint Backlog'!$C42),IF('Sprint Backlog'!$P42="Hecho","✔","■"),"")</f>
        <v/>
      </c>
      <c r="F44" s="17" t="str">
        <f aca="false">IF(AND(5&gt;='Sprint Backlog'!$B42,5&lt;='Sprint Backlog'!$C42),IF('Sprint Backlog'!$P42="Hecho","✔","■"),"")</f>
        <v/>
      </c>
      <c r="G44" s="17" t="str">
        <f aca="false">IF(AND(6&gt;='Sprint Backlog'!$B42,6&lt;='Sprint Backlog'!$C42),IF('Sprint Backlog'!$P42="Hecho","✔","■"),"")</f>
        <v/>
      </c>
      <c r="H44" s="17" t="str">
        <f aca="false">IF(AND(7&gt;='Sprint Backlog'!$B42,7&lt;='Sprint Backlog'!$C42),IF('Sprint Backlog'!$P42="Hecho","✔","■"),"")</f>
        <v/>
      </c>
      <c r="I44" s="17" t="str">
        <f aca="false">IF(AND(8&gt;='Sprint Backlog'!$B42,8&lt;='Sprint Backlog'!$C42),IF('Sprint Backlog'!$P42="Hecho","✔","■"),"")</f>
        <v/>
      </c>
      <c r="J44" s="17" t="str">
        <f aca="false">IF(AND(9&gt;='Sprint Backlog'!$B42,9&lt;='Sprint Backlog'!$C42),IF('Sprint Backlog'!$P42="Hecho","✔","■"),"")</f>
        <v/>
      </c>
      <c r="K44" s="17" t="str">
        <f aca="false">IF(AND(10&gt;='Sprint Backlog'!$B42,10&lt;='Sprint Backlog'!$C42),IF('Sprint Backlog'!$P42="Hecho","✔","■"),"")</f>
        <v/>
      </c>
      <c r="L44" s="17" t="str">
        <f aca="false">IF(AND(11&gt;='Sprint Backlog'!$B42,11&lt;='Sprint Backlog'!$C42),IF('Sprint Backlog'!$P42="Hecho","✔","■"),"")</f>
        <v/>
      </c>
      <c r="M44" s="17" t="str">
        <f aca="false">IF(AND(12&gt;='Sprint Backlog'!$B42,12&lt;='Sprint Backlog'!$C42),IF('Sprint Backlog'!$P42="Hecho","✔","■"),"")</f>
        <v>■</v>
      </c>
      <c r="N44" s="17" t="str">
        <f aca="false">IF(AND(13&gt;='Sprint Backlog'!$B42,13&lt;='Sprint Backlog'!$C42),IF('Sprint Backlog'!$P42="Hecho","✔","■"),"")</f>
        <v>■</v>
      </c>
      <c r="O44" s="17" t="str">
        <f aca="false">IF(AND(14&gt;='Sprint Backlog'!$B42,14&lt;='Sprint Backlog'!$C42),IF('Sprint Backlog'!$P42="Hecho","✔","■"),"")</f>
        <v/>
      </c>
      <c r="P44" s="17" t="str">
        <f aca="false">IF(AND(15&gt;='Sprint Backlog'!$B42,15&lt;='Sprint Backlog'!$C42),IF('Sprint Backlog'!$P42="Hecho","✔","■"),"")</f>
        <v/>
      </c>
    </row>
    <row r="45" customFormat="false" ht="15.75" hidden="false" customHeight="true" outlineLevel="0" collapsed="false">
      <c r="A45" s="16" t="str">
        <f aca="false">'Sprint Backlog'!D43</f>
        <v>DO-004</v>
      </c>
      <c r="B45" s="16" t="str">
        <f aca="false">'Sprint Backlog'!G43</f>
        <v>Código versionado, manuales y despliegue</v>
      </c>
      <c r="C45" s="16" t="str">
        <f aca="false">'Sprint Backlog'!K43</f>
        <v>Yan Liu Dai</v>
      </c>
      <c r="D45" s="5" t="n">
        <f aca="false">'Sprint Backlog'!J43</f>
        <v>3</v>
      </c>
      <c r="E45" s="17" t="str">
        <f aca="false">IF(AND(4&gt;='Sprint Backlog'!$B43,4&lt;='Sprint Backlog'!$C43),IF('Sprint Backlog'!$P43="Hecho","✔","■"),"")</f>
        <v/>
      </c>
      <c r="F45" s="17" t="str">
        <f aca="false">IF(AND(5&gt;='Sprint Backlog'!$B43,5&lt;='Sprint Backlog'!$C43),IF('Sprint Backlog'!$P43="Hecho","✔","■"),"")</f>
        <v/>
      </c>
      <c r="G45" s="17" t="str">
        <f aca="false">IF(AND(6&gt;='Sprint Backlog'!$B43,6&lt;='Sprint Backlog'!$C43),IF('Sprint Backlog'!$P43="Hecho","✔","■"),"")</f>
        <v/>
      </c>
      <c r="H45" s="17" t="str">
        <f aca="false">IF(AND(7&gt;='Sprint Backlog'!$B43,7&lt;='Sprint Backlog'!$C43),IF('Sprint Backlog'!$P43="Hecho","✔","■"),"")</f>
        <v/>
      </c>
      <c r="I45" s="17" t="str">
        <f aca="false">IF(AND(8&gt;='Sprint Backlog'!$B43,8&lt;='Sprint Backlog'!$C43),IF('Sprint Backlog'!$P43="Hecho","✔","■"),"")</f>
        <v/>
      </c>
      <c r="J45" s="17" t="str">
        <f aca="false">IF(AND(9&gt;='Sprint Backlog'!$B43,9&lt;='Sprint Backlog'!$C43),IF('Sprint Backlog'!$P43="Hecho","✔","■"),"")</f>
        <v/>
      </c>
      <c r="K45" s="17" t="str">
        <f aca="false">IF(AND(10&gt;='Sprint Backlog'!$B43,10&lt;='Sprint Backlog'!$C43),IF('Sprint Backlog'!$P43="Hecho","✔","■"),"")</f>
        <v/>
      </c>
      <c r="L45" s="17" t="str">
        <f aca="false">IF(AND(11&gt;='Sprint Backlog'!$B43,11&lt;='Sprint Backlog'!$C43),IF('Sprint Backlog'!$P43="Hecho","✔","■"),"")</f>
        <v/>
      </c>
      <c r="M45" s="17" t="str">
        <f aca="false">IF(AND(12&gt;='Sprint Backlog'!$B43,12&lt;='Sprint Backlog'!$C43),IF('Sprint Backlog'!$P43="Hecho","✔","■"),"")</f>
        <v>■</v>
      </c>
      <c r="N45" s="17" t="str">
        <f aca="false">IF(AND(13&gt;='Sprint Backlog'!$B43,13&lt;='Sprint Backlog'!$C43),IF('Sprint Backlog'!$P43="Hecho","✔","■"),"")</f>
        <v>■</v>
      </c>
      <c r="O45" s="17" t="str">
        <f aca="false">IF(AND(14&gt;='Sprint Backlog'!$B43,14&lt;='Sprint Backlog'!$C43),IF('Sprint Backlog'!$P43="Hecho","✔","■"),"")</f>
        <v/>
      </c>
      <c r="P45" s="17" t="str">
        <f aca="false">IF(AND(15&gt;='Sprint Backlog'!$B43,15&lt;='Sprint Backlog'!$C43),IF('Sprint Backlog'!$P43="Hecho","✔","■"),"")</f>
        <v/>
      </c>
    </row>
    <row r="46" customFormat="false" ht="15.75" hidden="false" customHeight="true" outlineLevel="0" collapsed="false">
      <c r="A46" s="16" t="str">
        <f aca="false">'Sprint Backlog'!D44</f>
        <v>DO-005</v>
      </c>
      <c r="B46" s="16" t="str">
        <f aca="false">'Sprint Backlog'!G44</f>
        <v>Informe Capstone</v>
      </c>
      <c r="C46" s="16" t="str">
        <f aca="false">'Sprint Backlog'!K44</f>
        <v>Equipo completo</v>
      </c>
      <c r="D46" s="5" t="n">
        <f aca="false">'Sprint Backlog'!J44</f>
        <v>3</v>
      </c>
      <c r="E46" s="17" t="str">
        <f aca="false">IF(AND(4&gt;='Sprint Backlog'!$B44,4&lt;='Sprint Backlog'!$C44),IF('Sprint Backlog'!$P44="Hecho","✔","■"),"")</f>
        <v/>
      </c>
      <c r="F46" s="17" t="str">
        <f aca="false">IF(AND(5&gt;='Sprint Backlog'!$B44,5&lt;='Sprint Backlog'!$C44),IF('Sprint Backlog'!$P44="Hecho","✔","■"),"")</f>
        <v/>
      </c>
      <c r="G46" s="17" t="str">
        <f aca="false">IF(AND(6&gt;='Sprint Backlog'!$B44,6&lt;='Sprint Backlog'!$C44),IF('Sprint Backlog'!$P44="Hecho","✔","■"),"")</f>
        <v/>
      </c>
      <c r="H46" s="17" t="str">
        <f aca="false">IF(AND(7&gt;='Sprint Backlog'!$B44,7&lt;='Sprint Backlog'!$C44),IF('Sprint Backlog'!$P44="Hecho","✔","■"),"")</f>
        <v/>
      </c>
      <c r="I46" s="17" t="str">
        <f aca="false">IF(AND(8&gt;='Sprint Backlog'!$B44,8&lt;='Sprint Backlog'!$C44),IF('Sprint Backlog'!$P44="Hecho","✔","■"),"")</f>
        <v/>
      </c>
      <c r="J46" s="17" t="str">
        <f aca="false">IF(AND(9&gt;='Sprint Backlog'!$B44,9&lt;='Sprint Backlog'!$C44),IF('Sprint Backlog'!$P44="Hecho","✔","■"),"")</f>
        <v/>
      </c>
      <c r="K46" s="17" t="str">
        <f aca="false">IF(AND(10&gt;='Sprint Backlog'!$B44,10&lt;='Sprint Backlog'!$C44),IF('Sprint Backlog'!$P44="Hecho","✔","■"),"")</f>
        <v/>
      </c>
      <c r="L46" s="17" t="str">
        <f aca="false">IF(AND(11&gt;='Sprint Backlog'!$B44,11&lt;='Sprint Backlog'!$C44),IF('Sprint Backlog'!$P44="Hecho","✔","■"),"")</f>
        <v/>
      </c>
      <c r="M46" s="17" t="str">
        <f aca="false">IF(AND(12&gt;='Sprint Backlog'!$B44,12&lt;='Sprint Backlog'!$C44),IF('Sprint Backlog'!$P44="Hecho","✔","■"),"")</f>
        <v/>
      </c>
      <c r="N46" s="17" t="str">
        <f aca="false">IF(AND(13&gt;='Sprint Backlog'!$B44,13&lt;='Sprint Backlog'!$C44),IF('Sprint Backlog'!$P44="Hecho","✔","■"),"")</f>
        <v>■</v>
      </c>
      <c r="O46" s="17" t="str">
        <f aca="false">IF(AND(14&gt;='Sprint Backlog'!$B44,14&lt;='Sprint Backlog'!$C44),IF('Sprint Backlog'!$P44="Hecho","✔","■"),"")</f>
        <v>■</v>
      </c>
      <c r="P46" s="17" t="str">
        <f aca="false">IF(AND(15&gt;='Sprint Backlog'!$B44,15&lt;='Sprint Backlog'!$C44),IF('Sprint Backlog'!$P44="Hecho","✔","■"),"")</f>
        <v/>
      </c>
    </row>
    <row r="47" customFormat="false" ht="15.75" hidden="false" customHeight="true" outlineLevel="0" collapsed="false">
      <c r="A47" s="16" t="str">
        <f aca="false">'Sprint Backlog'!D45</f>
        <v>DO-006</v>
      </c>
      <c r="B47" s="16" t="str">
        <f aca="false">'Sprint Backlog'!G45</f>
        <v>Presentación final del proyecto</v>
      </c>
      <c r="C47" s="16" t="str">
        <f aca="false">'Sprint Backlog'!K45</f>
        <v>Equipo completo</v>
      </c>
      <c r="D47" s="5" t="n">
        <f aca="false">'Sprint Backlog'!J45</f>
        <v>2</v>
      </c>
      <c r="E47" s="17" t="str">
        <f aca="false">IF(AND(4&gt;='Sprint Backlog'!$B45,4&lt;='Sprint Backlog'!$C45),IF('Sprint Backlog'!$P45="Hecho","✔","■"),"")</f>
        <v/>
      </c>
      <c r="F47" s="17" t="str">
        <f aca="false">IF(AND(5&gt;='Sprint Backlog'!$B45,5&lt;='Sprint Backlog'!$C45),IF('Sprint Backlog'!$P45="Hecho","✔","■"),"")</f>
        <v/>
      </c>
      <c r="G47" s="17" t="str">
        <f aca="false">IF(AND(6&gt;='Sprint Backlog'!$B45,6&lt;='Sprint Backlog'!$C45),IF('Sprint Backlog'!$P45="Hecho","✔","■"),"")</f>
        <v/>
      </c>
      <c r="H47" s="17" t="str">
        <f aca="false">IF(AND(7&gt;='Sprint Backlog'!$B45,7&lt;='Sprint Backlog'!$C45),IF('Sprint Backlog'!$P45="Hecho","✔","■"),"")</f>
        <v/>
      </c>
      <c r="I47" s="17" t="str">
        <f aca="false">IF(AND(8&gt;='Sprint Backlog'!$B45,8&lt;='Sprint Backlog'!$C45),IF('Sprint Backlog'!$P45="Hecho","✔","■"),"")</f>
        <v/>
      </c>
      <c r="J47" s="17" t="str">
        <f aca="false">IF(AND(9&gt;='Sprint Backlog'!$B45,9&lt;='Sprint Backlog'!$C45),IF('Sprint Backlog'!$P45="Hecho","✔","■"),"")</f>
        <v/>
      </c>
      <c r="K47" s="17" t="str">
        <f aca="false">IF(AND(10&gt;='Sprint Backlog'!$B45,10&lt;='Sprint Backlog'!$C45),IF('Sprint Backlog'!$P45="Hecho","✔","■"),"")</f>
        <v/>
      </c>
      <c r="L47" s="17" t="str">
        <f aca="false">IF(AND(11&gt;='Sprint Backlog'!$B45,11&lt;='Sprint Backlog'!$C45),IF('Sprint Backlog'!$P45="Hecho","✔","■"),"")</f>
        <v/>
      </c>
      <c r="M47" s="17" t="str">
        <f aca="false">IF(AND(12&gt;='Sprint Backlog'!$B45,12&lt;='Sprint Backlog'!$C45),IF('Sprint Backlog'!$P45="Hecho","✔","■"),"")</f>
        <v/>
      </c>
      <c r="N47" s="17" t="str">
        <f aca="false">IF(AND(13&gt;='Sprint Backlog'!$B45,13&lt;='Sprint Backlog'!$C45),IF('Sprint Backlog'!$P45="Hecho","✔","■"),"")</f>
        <v/>
      </c>
      <c r="O47" s="17" t="str">
        <f aca="false">IF(AND(14&gt;='Sprint Backlog'!$B45,14&lt;='Sprint Backlog'!$C45),IF('Sprint Backlog'!$P45="Hecho","✔","■"),"")</f>
        <v/>
      </c>
      <c r="P47" s="17" t="str">
        <f aca="false">IF(AND(15&gt;='Sprint Backlog'!$B45,15&lt;='Sprint Backlog'!$C45),IF('Sprint Backlog'!$P45="Hecho","✔","■"),"")</f>
        <v>■</v>
      </c>
    </row>
    <row r="48" customFormat="false" ht="15" hidden="false" customHeight="false" outlineLevel="0" collapsed="false">
      <c r="C48" s="18" t="s">
        <v>303</v>
      </c>
      <c r="D48" s="19" t="n">
        <f aca="false">SUM(D7:D47)</f>
        <v>148</v>
      </c>
      <c r="E48" s="19" t="n">
        <f aca="false">SUMIFS('Sprint Backlog'!$J:$J,'Sprint Backlog'!$B:$B,"&lt;="&amp;4,'Sprint Backlog'!$C:$C,"&gt;="&amp;4)</f>
        <v>23</v>
      </c>
      <c r="F48" s="19" t="n">
        <f aca="false">SUMIFS('Sprint Backlog'!$J:$J,'Sprint Backlog'!$B:$B,"&lt;="&amp;5,'Sprint Backlog'!$C:$C,"&gt;="&amp;5)</f>
        <v>32</v>
      </c>
      <c r="G48" s="19" t="n">
        <f aca="false">SUMIFS('Sprint Backlog'!$J:$J,'Sprint Backlog'!$B:$B,"&lt;="&amp;6,'Sprint Backlog'!$C:$C,"&gt;="&amp;6)</f>
        <v>40</v>
      </c>
      <c r="H48" s="19" t="n">
        <f aca="false">SUMIFS('Sprint Backlog'!$J:$J,'Sprint Backlog'!$B:$B,"&lt;="&amp;7,'Sprint Backlog'!$C:$C,"&gt;="&amp;7)</f>
        <v>27</v>
      </c>
      <c r="I48" s="19" t="n">
        <f aca="false">SUMIFS('Sprint Backlog'!$J:$J,'Sprint Backlog'!$B:$B,"&lt;="&amp;8,'Sprint Backlog'!$C:$C,"&gt;="&amp;8)</f>
        <v>28</v>
      </c>
      <c r="J48" s="19" t="n">
        <f aca="false">SUMIFS('Sprint Backlog'!$J:$J,'Sprint Backlog'!$B:$B,"&lt;="&amp;9,'Sprint Backlog'!$C:$C,"&gt;="&amp;9)</f>
        <v>36</v>
      </c>
      <c r="K48" s="19" t="n">
        <f aca="false">SUMIFS('Sprint Backlog'!$J:$J,'Sprint Backlog'!$B:$B,"&lt;="&amp;10,'Sprint Backlog'!$C:$C,"&gt;="&amp;10)</f>
        <v>34</v>
      </c>
      <c r="L48" s="19" t="n">
        <f aca="false">SUMIFS('Sprint Backlog'!$J:$J,'Sprint Backlog'!$B:$B,"&lt;="&amp;11,'Sprint Backlog'!$C:$C,"&gt;="&amp;11)</f>
        <v>23</v>
      </c>
      <c r="M48" s="19" t="n">
        <f aca="false">SUMIFS('Sprint Backlog'!$J:$J,'Sprint Backlog'!$B:$B,"&lt;="&amp;12,'Sprint Backlog'!$C:$C,"&gt;="&amp;12)</f>
        <v>8</v>
      </c>
      <c r="N48" s="19" t="n">
        <f aca="false">SUMIFS('Sprint Backlog'!$J:$J,'Sprint Backlog'!$B:$B,"&lt;="&amp;13,'Sprint Backlog'!$C:$C,"&gt;="&amp;13)</f>
        <v>11</v>
      </c>
      <c r="O48" s="19" t="n">
        <f aca="false">SUMIFS('Sprint Backlog'!$J:$J,'Sprint Backlog'!$B:$B,"&lt;="&amp;14,'Sprint Backlog'!$C:$C,"&gt;="&amp;14)</f>
        <v>3</v>
      </c>
      <c r="P48" s="19" t="n">
        <f aca="false">SUMIFS('Sprint Backlog'!$J:$J,'Sprint Backlog'!$B:$B,"&lt;="&amp;15,'Sprint Backlog'!$C:$C,"&gt;="&amp;15)</f>
        <v>2</v>
      </c>
    </row>
    <row r="50" customFormat="false" ht="15" hidden="false" customHeight="false" outlineLevel="0" collapsed="false">
      <c r="A50" s="20" t="s">
        <v>304</v>
      </c>
    </row>
    <row r="51" customFormat="false" ht="22.35" hidden="false" customHeight="false" outlineLevel="0" collapsed="false">
      <c r="A51" s="21" t="s">
        <v>54</v>
      </c>
      <c r="B51" s="21" t="s">
        <v>305</v>
      </c>
      <c r="C51" s="21" t="s">
        <v>306</v>
      </c>
      <c r="D51" s="21" t="s">
        <v>307</v>
      </c>
      <c r="E51" s="21" t="s">
        <v>308</v>
      </c>
      <c r="F51" s="21" t="s">
        <v>309</v>
      </c>
    </row>
    <row r="52" customFormat="false" ht="30" hidden="false" customHeight="true" outlineLevel="0" collapsed="false">
      <c r="A52" s="22" t="s">
        <v>69</v>
      </c>
      <c r="B52" s="22" t="s">
        <v>310</v>
      </c>
      <c r="C52" s="23" t="n">
        <v>64</v>
      </c>
      <c r="D52" s="23" t="n">
        <f aca="false">SUMIFS('Sprint Backlog'!$J:$J,'Sprint Backlog'!$A:$A,"Sprint 1 — MVP")</f>
        <v>65</v>
      </c>
      <c r="E52" s="23" t="n">
        <f aca="false">SUMIFS('Sprint Backlog'!$J:$J,'Sprint Backlog'!$A:$A,"Sprint 1 — MVP")</f>
        <v>65</v>
      </c>
      <c r="F52" s="22" t="s">
        <v>311</v>
      </c>
    </row>
    <row r="53" customFormat="false" ht="30" hidden="false" customHeight="true" outlineLevel="0" collapsed="false">
      <c r="A53" s="22" t="s">
        <v>167</v>
      </c>
      <c r="B53" s="22" t="s">
        <v>312</v>
      </c>
      <c r="C53" s="23" t="n">
        <v>64</v>
      </c>
      <c r="D53" s="23" t="n">
        <f aca="false">SUMIFS('Sprint Backlog'!$J:$J,'Sprint Backlog'!$A:$A,"Sprint 2 — Producto final")</f>
        <v>70</v>
      </c>
      <c r="E53" s="23" t="n">
        <f aca="false">SUMIFS('Sprint Backlog'!$J:$J,'Sprint Backlog'!$A:$A,"Sprint 2 — Producto final")-8</f>
        <v>62</v>
      </c>
      <c r="F53" s="22" t="s">
        <v>313</v>
      </c>
    </row>
    <row r="54" customFormat="false" ht="30" hidden="false" customHeight="true" outlineLevel="0" collapsed="false">
      <c r="A54" s="22" t="s">
        <v>282</v>
      </c>
      <c r="B54" s="22" t="s">
        <v>314</v>
      </c>
      <c r="C54" s="23" t="n">
        <v>64</v>
      </c>
      <c r="D54" s="23" t="n">
        <f aca="false">SUMIFS('Sprint Backlog'!$J:$J,'Sprint Backlog'!$A:$A,"Cierre — Reporte y Capstone")</f>
        <v>13</v>
      </c>
      <c r="E54" s="23" t="n">
        <f aca="false">SUMIFS('Sprint Backlog'!$J:$J,'Sprint Backlog'!$A:$A,"Cierre — Reporte y Capstone")</f>
        <v>13</v>
      </c>
      <c r="F54" s="22" t="s">
        <v>315</v>
      </c>
    </row>
  </sheetData>
  <conditionalFormatting sqref="E7:P47">
    <cfRule type="expression" priority="2" aboveAverage="0" equalAverage="0" bottom="0" percent="0" rank="0" text="" dxfId="3">
      <formula>E7="✔"</formula>
    </cfRule>
    <cfRule type="expression" priority="3" aboveAverage="0" equalAverage="0" bottom="0" percent="0" rank="0" text="" dxfId="4">
      <formula>AND(E7="■",COLUMN(E7)&lt;=8)</formula>
    </cfRule>
    <cfRule type="expression" priority="4" aboveAverage="0" equalAverage="0" bottom="0" percent="0" rank="0" text="" dxfId="5">
      <formula>AND(E7="■",COLUMN(E7)&gt;8)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56"/>
    <col collapsed="false" customWidth="true" hidden="false" outlineLevel="0" max="7" min="4" style="0" width="14"/>
    <col collapsed="false" customWidth="true" hidden="false" outlineLevel="0" max="8" min="8" style="0" width="13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316</v>
      </c>
    </row>
    <row r="2" customFormat="false" ht="15" hidden="false" customHeight="false" outlineLevel="0" collapsed="false">
      <c r="A2" s="2" t="s">
        <v>317</v>
      </c>
    </row>
    <row r="4" customFormat="false" ht="30" hidden="false" customHeight="true" outlineLevel="0" collapsed="false">
      <c r="A4" s="3" t="s">
        <v>318</v>
      </c>
      <c r="B4" s="3" t="s">
        <v>319</v>
      </c>
      <c r="C4" s="3" t="s">
        <v>320</v>
      </c>
      <c r="D4" s="3" t="s">
        <v>20</v>
      </c>
      <c r="E4" s="3" t="s">
        <v>28</v>
      </c>
      <c r="F4" s="3" t="s">
        <v>12</v>
      </c>
      <c r="G4" s="3" t="s">
        <v>36</v>
      </c>
      <c r="H4" s="3" t="s">
        <v>321</v>
      </c>
      <c r="I4" s="3" t="s">
        <v>322</v>
      </c>
    </row>
    <row r="5" customFormat="false" ht="18" hidden="false" customHeight="true" outlineLevel="0" collapsed="false">
      <c r="A5" s="8" t="n">
        <v>1</v>
      </c>
      <c r="B5" s="4" t="s">
        <v>323</v>
      </c>
      <c r="C5" s="4" t="s">
        <v>324</v>
      </c>
      <c r="D5" s="24" t="n">
        <v>10</v>
      </c>
      <c r="E5" s="24" t="n">
        <v>10</v>
      </c>
      <c r="F5" s="24" t="n">
        <v>10</v>
      </c>
      <c r="G5" s="24" t="n">
        <v>10</v>
      </c>
      <c r="H5" s="8" t="n">
        <f aca="false">SUM(D5:G5)</f>
        <v>40</v>
      </c>
      <c r="I5" s="4"/>
    </row>
    <row r="6" customFormat="false" ht="18" hidden="false" customHeight="true" outlineLevel="0" collapsed="false">
      <c r="A6" s="8" t="n">
        <v>2</v>
      </c>
      <c r="B6" s="4" t="s">
        <v>325</v>
      </c>
      <c r="C6" s="4" t="s">
        <v>326</v>
      </c>
      <c r="D6" s="24" t="n">
        <v>10</v>
      </c>
      <c r="E6" s="24" t="n">
        <v>10</v>
      </c>
      <c r="F6" s="24" t="n">
        <v>10</v>
      </c>
      <c r="G6" s="24" t="n">
        <v>10</v>
      </c>
      <c r="H6" s="8" t="n">
        <f aca="false">SUM(D6:G6)</f>
        <v>40</v>
      </c>
      <c r="I6" s="4"/>
    </row>
    <row r="7" customFormat="false" ht="18" hidden="false" customHeight="true" outlineLevel="0" collapsed="false">
      <c r="A7" s="8" t="n">
        <v>3</v>
      </c>
      <c r="B7" s="4" t="s">
        <v>327</v>
      </c>
      <c r="C7" s="4" t="s">
        <v>328</v>
      </c>
      <c r="D7" s="24" t="n">
        <v>10</v>
      </c>
      <c r="E7" s="24" t="n">
        <v>10</v>
      </c>
      <c r="F7" s="24" t="n">
        <v>10</v>
      </c>
      <c r="G7" s="24" t="n">
        <v>10</v>
      </c>
      <c r="H7" s="8" t="n">
        <f aca="false">SUM(D7:G7)</f>
        <v>40</v>
      </c>
      <c r="I7" s="4"/>
    </row>
    <row r="8" customFormat="false" ht="18" hidden="false" customHeight="true" outlineLevel="0" collapsed="false">
      <c r="A8" s="8" t="n">
        <v>4</v>
      </c>
      <c r="B8" s="4" t="s">
        <v>329</v>
      </c>
      <c r="C8" s="4" t="s">
        <v>330</v>
      </c>
      <c r="D8" s="24" t="n">
        <v>10</v>
      </c>
      <c r="E8" s="24" t="n">
        <v>10</v>
      </c>
      <c r="F8" s="24" t="n">
        <v>10</v>
      </c>
      <c r="G8" s="24" t="n">
        <v>10</v>
      </c>
      <c r="H8" s="8" t="n">
        <f aca="false">SUM(D8:G8)</f>
        <v>40</v>
      </c>
      <c r="I8" s="4"/>
    </row>
    <row r="9" customFormat="false" ht="18" hidden="false" customHeight="true" outlineLevel="0" collapsed="false">
      <c r="A9" s="8" t="n">
        <v>5</v>
      </c>
      <c r="B9" s="4" t="s">
        <v>331</v>
      </c>
      <c r="C9" s="4" t="s">
        <v>332</v>
      </c>
      <c r="D9" s="24" t="n">
        <v>10</v>
      </c>
      <c r="E9" s="24" t="n">
        <v>10</v>
      </c>
      <c r="F9" s="24" t="n">
        <v>10</v>
      </c>
      <c r="G9" s="24" t="n">
        <v>10</v>
      </c>
      <c r="H9" s="8" t="n">
        <f aca="false">SUM(D9:G9)</f>
        <v>40</v>
      </c>
      <c r="I9" s="4"/>
    </row>
    <row r="10" customFormat="false" ht="18" hidden="false" customHeight="true" outlineLevel="0" collapsed="false">
      <c r="A10" s="8" t="n">
        <v>6</v>
      </c>
      <c r="B10" s="4" t="s">
        <v>333</v>
      </c>
      <c r="C10" s="4" t="s">
        <v>334</v>
      </c>
      <c r="D10" s="24" t="n">
        <v>10</v>
      </c>
      <c r="E10" s="24" t="n">
        <v>10</v>
      </c>
      <c r="F10" s="24" t="n">
        <v>10</v>
      </c>
      <c r="G10" s="24" t="n">
        <v>10</v>
      </c>
      <c r="H10" s="8" t="n">
        <f aca="false">SUM(D10:G10)</f>
        <v>40</v>
      </c>
      <c r="I10" s="4"/>
    </row>
    <row r="11" customFormat="false" ht="18" hidden="false" customHeight="true" outlineLevel="0" collapsed="false">
      <c r="A11" s="8" t="n">
        <v>7</v>
      </c>
      <c r="B11" s="4" t="s">
        <v>335</v>
      </c>
      <c r="C11" s="4" t="s">
        <v>336</v>
      </c>
      <c r="D11" s="24" t="n">
        <v>10</v>
      </c>
      <c r="E11" s="24" t="n">
        <v>10</v>
      </c>
      <c r="F11" s="24" t="n">
        <v>10</v>
      </c>
      <c r="G11" s="24" t="n">
        <v>10</v>
      </c>
      <c r="H11" s="8" t="n">
        <f aca="false">SUM(D11:G11)</f>
        <v>40</v>
      </c>
      <c r="I11" s="4"/>
    </row>
    <row r="12" customFormat="false" ht="18" hidden="false" customHeight="true" outlineLevel="0" collapsed="false">
      <c r="A12" s="8" t="n">
        <v>8</v>
      </c>
      <c r="B12" s="4" t="s">
        <v>337</v>
      </c>
      <c r="C12" s="4" t="s">
        <v>338</v>
      </c>
      <c r="D12" s="24" t="n">
        <v>10</v>
      </c>
      <c r="E12" s="24" t="n">
        <v>10</v>
      </c>
      <c r="F12" s="24" t="n">
        <v>10</v>
      </c>
      <c r="G12" s="24" t="n">
        <v>10</v>
      </c>
      <c r="H12" s="8" t="n">
        <f aca="false">SUM(D12:G12)</f>
        <v>40</v>
      </c>
      <c r="I12" s="4"/>
    </row>
    <row r="13" customFormat="false" ht="18" hidden="false" customHeight="true" outlineLevel="0" collapsed="false">
      <c r="A13" s="8" t="n">
        <v>9</v>
      </c>
      <c r="B13" s="4" t="s">
        <v>339</v>
      </c>
      <c r="C13" s="4" t="s">
        <v>340</v>
      </c>
      <c r="D13" s="24" t="n">
        <v>10</v>
      </c>
      <c r="E13" s="24" t="n">
        <v>10</v>
      </c>
      <c r="F13" s="24" t="n">
        <v>10</v>
      </c>
      <c r="G13" s="24" t="n">
        <v>10</v>
      </c>
      <c r="H13" s="8" t="n">
        <f aca="false">SUM(D13:G13)</f>
        <v>40</v>
      </c>
      <c r="I13" s="4"/>
    </row>
    <row r="14" customFormat="false" ht="18" hidden="false" customHeight="true" outlineLevel="0" collapsed="false">
      <c r="A14" s="8" t="n">
        <v>10</v>
      </c>
      <c r="B14" s="4" t="s">
        <v>341</v>
      </c>
      <c r="C14" s="4" t="s">
        <v>342</v>
      </c>
      <c r="D14" s="24" t="n">
        <v>10</v>
      </c>
      <c r="E14" s="24" t="n">
        <v>10</v>
      </c>
      <c r="F14" s="24" t="n">
        <v>10</v>
      </c>
      <c r="G14" s="24" t="n">
        <v>10</v>
      </c>
      <c r="H14" s="8" t="n">
        <f aca="false">SUM(D14:G14)</f>
        <v>40</v>
      </c>
      <c r="I14" s="4"/>
    </row>
    <row r="15" customFormat="false" ht="18" hidden="false" customHeight="true" outlineLevel="0" collapsed="false">
      <c r="A15" s="8" t="n">
        <v>11</v>
      </c>
      <c r="B15" s="4" t="s">
        <v>343</v>
      </c>
      <c r="C15" s="4" t="s">
        <v>344</v>
      </c>
      <c r="D15" s="24" t="n">
        <v>10</v>
      </c>
      <c r="E15" s="24" t="n">
        <v>10</v>
      </c>
      <c r="F15" s="24" t="n">
        <v>10</v>
      </c>
      <c r="G15" s="24" t="n">
        <v>10</v>
      </c>
      <c r="H15" s="8" t="n">
        <f aca="false">SUM(D15:G15)</f>
        <v>40</v>
      </c>
      <c r="I15" s="4"/>
    </row>
    <row r="16" customFormat="false" ht="18" hidden="false" customHeight="true" outlineLevel="0" collapsed="false">
      <c r="A16" s="8" t="n">
        <v>12</v>
      </c>
      <c r="B16" s="4" t="s">
        <v>345</v>
      </c>
      <c r="C16" s="4" t="s">
        <v>346</v>
      </c>
      <c r="D16" s="24" t="n">
        <v>10</v>
      </c>
      <c r="E16" s="24" t="n">
        <v>10</v>
      </c>
      <c r="F16" s="24" t="n">
        <v>10</v>
      </c>
      <c r="G16" s="24" t="n">
        <v>10</v>
      </c>
      <c r="H16" s="8" t="n">
        <f aca="false">SUM(D16:G16)</f>
        <v>40</v>
      </c>
      <c r="I16" s="4"/>
    </row>
    <row r="17" customFormat="false" ht="18" hidden="false" customHeight="true" outlineLevel="0" collapsed="false">
      <c r="A17" s="8" t="n">
        <v>13</v>
      </c>
      <c r="B17" s="4" t="s">
        <v>347</v>
      </c>
      <c r="C17" s="4" t="s">
        <v>348</v>
      </c>
      <c r="D17" s="24" t="n">
        <v>10</v>
      </c>
      <c r="E17" s="24" t="n">
        <v>10</v>
      </c>
      <c r="F17" s="24" t="n">
        <v>10</v>
      </c>
      <c r="G17" s="24" t="n">
        <v>10</v>
      </c>
      <c r="H17" s="8" t="n">
        <f aca="false">SUM(D17:G17)</f>
        <v>40</v>
      </c>
      <c r="I17" s="4"/>
    </row>
    <row r="18" customFormat="false" ht="18" hidden="false" customHeight="true" outlineLevel="0" collapsed="false">
      <c r="A18" s="8" t="n">
        <v>14</v>
      </c>
      <c r="B18" s="4" t="s">
        <v>349</v>
      </c>
      <c r="C18" s="4" t="s">
        <v>350</v>
      </c>
      <c r="D18" s="24" t="n">
        <v>10</v>
      </c>
      <c r="E18" s="24" t="n">
        <v>10</v>
      </c>
      <c r="F18" s="24" t="n">
        <v>10</v>
      </c>
      <c r="G18" s="24" t="n">
        <v>10</v>
      </c>
      <c r="H18" s="8" t="n">
        <f aca="false">SUM(D18:G18)</f>
        <v>40</v>
      </c>
      <c r="I18" s="4"/>
    </row>
    <row r="19" customFormat="false" ht="18" hidden="false" customHeight="true" outlineLevel="0" collapsed="false">
      <c r="A19" s="8" t="n">
        <v>15</v>
      </c>
      <c r="B19" s="4" t="s">
        <v>351</v>
      </c>
      <c r="C19" s="4" t="s">
        <v>352</v>
      </c>
      <c r="D19" s="24" t="n">
        <v>10</v>
      </c>
      <c r="E19" s="24" t="n">
        <v>10</v>
      </c>
      <c r="F19" s="24" t="n">
        <v>10</v>
      </c>
      <c r="G19" s="24" t="n">
        <v>10</v>
      </c>
      <c r="H19" s="8" t="n">
        <f aca="false">SUM(D19:G19)</f>
        <v>40</v>
      </c>
      <c r="I19" s="4"/>
    </row>
    <row r="20" customFormat="false" ht="19.5" hidden="false" customHeight="true" outlineLevel="0" collapsed="false">
      <c r="A20" s="25" t="s">
        <v>51</v>
      </c>
      <c r="B20" s="6"/>
      <c r="C20" s="6" t="s">
        <v>353</v>
      </c>
      <c r="D20" s="25" t="n">
        <f aca="false">SUM(D5:D19)</f>
        <v>150</v>
      </c>
      <c r="E20" s="25" t="n">
        <f aca="false">SUM(E5:E19)</f>
        <v>150</v>
      </c>
      <c r="F20" s="25" t="n">
        <f aca="false">SUM(F5:F19)</f>
        <v>150</v>
      </c>
      <c r="G20" s="25" t="n">
        <f aca="false">SUM(G5:G19)</f>
        <v>150</v>
      </c>
      <c r="H20" s="25" t="n">
        <f aca="false">SUM(H5:H19)</f>
        <v>600</v>
      </c>
      <c r="I20" s="6"/>
    </row>
    <row r="22" customFormat="false" ht="15" hidden="false" customHeight="false" outlineLevel="0" collapsed="false">
      <c r="A22" s="9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2026-09-26T12:38:24Z</dcterms:created>
  <dc:creator>openpyxl</dc:creator>
  <dc:description/>
  <dc:language>en-US</dc:language>
  <cp:lastModifiedBy/>
  <dcterms:modified xsi:type="dcterms:W3CDTF">2026-09-26T12:38:24Z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